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2d3c91aa27496f" /></Relationships>
</file>

<file path=xl/workbook.xml><?xml version="1.0" encoding="utf-8"?>
<x:workbook xmlns:x="http://schemas.openxmlformats.org/spreadsheetml/2006/main">
  <x:sheets>
    <x:sheet xmlns:r="http://schemas.openxmlformats.org/officeDocument/2006/relationships" name="Settings" sheetId="1" r:id="Rc98c7de425ce488c"/>
    <x:sheet xmlns:r="http://schemas.openxmlformats.org/officeDocument/2006/relationships" name="Assets" sheetId="2" r:id="R6267e3f5a6634b2d"/>
    <x:sheet xmlns:r="http://schemas.openxmlformats.org/officeDocument/2006/relationships" name="Navigation" sheetId="3" r:id="R27b77c28d6604183"/>
    <x:sheet xmlns:r="http://schemas.openxmlformats.org/officeDocument/2006/relationships" name="Banners" sheetId="4" r:id="R45289ff71b124f2b"/>
    <x:sheet xmlns:r="http://schemas.openxmlformats.org/officeDocument/2006/relationships" name="Collections" sheetId="5" r:id="Rf3b9e12c7b724a23"/>
    <x:sheet xmlns:r="http://schemas.openxmlformats.org/officeDocument/2006/relationships" name="Product_Rails" sheetId="6" r:id="R58b24c7862684b23"/>
    <x:sheet xmlns:r="http://schemas.openxmlformats.org/officeDocument/2006/relationships" name="Products" sheetId="7" r:id="R83456ae7c445423d"/>
    <x:sheet xmlns:r="http://schemas.openxmlformats.org/officeDocument/2006/relationships" name="Quick_Links" sheetId="8" r:id="Red6252229c2d4524"/>
    <x:sheet xmlns:r="http://schemas.openxmlformats.org/officeDocument/2006/relationships" name="Home_Sections" sheetId="9" r:id="R7e89271d9c0b4c03"/>
    <x:sheet xmlns:r="http://schemas.openxmlformats.org/officeDocument/2006/relationships" name="App_Copy" sheetId="10" r:id="Rcbf2bb453c304cec"/>
    <x:sheet xmlns:r="http://schemas.openxmlformats.org/officeDocument/2006/relationships" name="Contact_Actions" sheetId="11" r:id="R8e5b27ea83054695"/>
    <x:sheet xmlns:r="http://schemas.openxmlformats.org/officeDocument/2006/relationships" name="Feature_Flags" sheetId="12" r:id="R58e57871b5bc4dfd"/>
    <x:sheet xmlns:r="http://schemas.openxmlformats.org/officeDocument/2006/relationships" name="Messages" sheetId="13" r:id="R3622191b2d814839"/>
    <x:sheet xmlns:r="http://schemas.openxmlformats.org/officeDocument/2006/relationships" name="Cities" sheetId="14" r:id="R0d79129924224e35"/>
    <x:sheet xmlns:r="http://schemas.openxmlformats.org/officeDocument/2006/relationships" name="Dashboard" sheetId="15" r:id="Rf4eabb230cee4740"/>
    <x:sheet xmlns:r="http://schemas.openxmlformats.org/officeDocument/2006/relationships" name="README" sheetId="16" r:id="R2c7fbc1bf4da443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9">
    <x:font>
      <x:sz val="11"/>
      <x:name val="Carlito"/>
    </x:font>
    <x:font>
      <x:sz val="10"/>
      <x:color rgb="FF202124"/>
      <x:name val="Arial"/>
    </x:font>
    <x:font>
      <x:b/>
      <x:sz val="10"/>
      <x:color rgb="FF202124"/>
      <x:name val="Arial"/>
    </x:font>
    <x:font>
      <x:b/>
      <x:sz val="19"/>
      <x:color rgb="FF202124"/>
      <x:name val="Arial"/>
    </x:font>
    <x:font>
      <x:sz val="10"/>
      <x:color rgb="FF5F6368"/>
      <x:name val="Arial"/>
    </x:font>
    <x:font>
      <x:sz val="11"/>
      <x:color rgb="FF202124"/>
      <x:name val="Arial"/>
    </x:font>
    <x:font>
      <x:b/>
      <x:sz val="15"/>
      <x:color rgb="FF137333"/>
      <x:name val="Arial"/>
    </x:font>
    <x:font>
      <x:b/>
      <x:sz val="11"/>
      <x:color rgb="FF202124"/>
      <x:name val="Arial"/>
    </x:font>
    <x:font>
      <x:b/>
      <x:sz val="18"/>
      <x:color rgb="FF202124"/>
      <x:name val="Arial"/>
    </x:font>
  </x:fonts>
  <x:fills count="6">
    <x:fill>
      <x:patternFill patternType="none"/>
    </x:fill>
    <x:fill>
      <x:patternFill patternType="gray125"/>
    </x:fill>
    <x:fill>
      <x:patternFill patternType="solid">
        <x:fgColor rgb="FFF1F3F4"/>
      </x:patternFill>
    </x:fill>
    <x:fill>
      <x:patternFill patternType="solid">
        <x:fgColor rgb="FFF8F9FA"/>
      </x:patternFill>
    </x:fill>
    <x:fill>
      <x:patternFill patternType="solid">
        <x:fgColor rgb="FFFFF2E9"/>
      </x:patternFill>
    </x:fill>
    <x:fill>
      <x:patternFill patternType="solid">
        <x:fgColor rgb="FFFEF7E0"/>
      </x:patternFill>
    </x:fill>
  </x:fills>
  <x:borders count="10">
    <x:border/>
    <x:border>
      <x:left style="thin">
        <x:color rgb="FFDADCE0"/>
      </x:left>
      <x:right style="thin">
        <x:color rgb="FFDADCE0"/>
      </x:right>
      <x:top style="thin">
        <x:color rgb="FFDADCE0"/>
      </x:top>
      <x:bottom style="thin">
        <x:color rgb="FFDADCE0"/>
      </x:bottom>
    </x:border>
    <x:border>
      <x:left style="thin">
        <x:color rgb="FFDADCE0"/>
      </x:left>
      <x:top style="thin">
        <x:color rgb="FFDADCE0"/>
      </x:top>
    </x:border>
    <x:border>
      <x:top style="thin">
        <x:color rgb="FFDADCE0"/>
      </x:top>
    </x:border>
    <x:border>
      <x:right style="thin">
        <x:color rgb="FFDADCE0"/>
      </x:right>
      <x:top style="thin">
        <x:color rgb="FFDADCE0"/>
      </x:top>
    </x:border>
    <x:border>
      <x:left style="thin">
        <x:color rgb="FFDADCE0"/>
      </x:left>
    </x:border>
    <x:border>
      <x:right style="thin">
        <x:color rgb="FFDADCE0"/>
      </x:right>
    </x:border>
    <x:border>
      <x:left style="thin">
        <x:color rgb="FFDADCE0"/>
      </x:left>
      <x:bottom style="thin">
        <x:color rgb="FFDADCE0"/>
      </x:bottom>
    </x:border>
    <x:border>
      <x:bottom style="thin">
        <x:color rgb="FFDADCE0"/>
      </x:bottom>
    </x:border>
    <x:border>
      <x:right style="thin">
        <x:color rgb="FFDADCE0"/>
      </x:right>
      <x:bottom style="thin">
        <x:color rgb="FFDADCE0"/>
      </x:bottom>
    </x:border>
  </x:borders>
  <x:cellStyleXfs count="1">
    <x:xf numFmtId="0" fontId="0" fillId="0" borderId="0"/>
  </x:cellStyleXfs>
  <x:cellXfs count="57">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1" xfId="0" applyNumberFormat="1" applyFont="1" applyFill="1" applyBorder="1"/>
    <x:xf numFmtId="0" fontId="1" fillId="0" borderId="1" xfId="0" applyNumberFormat="1" applyFont="1" applyFill="1" applyBorder="1">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wrapText="1"/>
    </x:xf>
    <x:xf numFmtId="0" fontId="1"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vertical="center"/>
    </x:xf>
    <x:xf numFmtId="0" fontId="5"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6"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0" fillId="5" borderId="0" xfId="0" applyNumberFormat="1" applyFont="1" applyFill="1" applyBorder="1"/>
    <x:xf numFmtId="0" fontId="7" fillId="5" borderId="0"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2"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0" fontId="1" fillId="0" borderId="4" xfId="0" applyNumberFormat="1" applyFont="1" applyFill="1" applyBorder="1" applyAlignment="1">
      <x:alignment vertical="center" wrapText="1"/>
    </x:xf>
    <x:xf numFmtId="0" fontId="1" fillId="0" borderId="5"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0" borderId="6" xfId="0" applyNumberFormat="1" applyFont="1" applyFill="1" applyBorder="1" applyAlignment="1">
      <x:alignment vertical="center" wrapText="1"/>
    </x:xf>
    <x:xf numFmtId="0" fontId="1" fillId="0" borderId="7" xfId="0" applyNumberFormat="1" applyFont="1" applyFill="1" applyBorder="1" applyAlignment="1">
      <x:alignment vertical="center" wrapText="1"/>
    </x:xf>
    <x:xf numFmtId="0" fontId="1" fillId="0" borderId="8" xfId="0" applyNumberFormat="1" applyFont="1" applyFill="1" applyBorder="1" applyAlignment="1">
      <x:alignment vertical="center" wrapText="1"/>
    </x:xf>
    <x:xf numFmtId="0" fontId="1" fillId="0" borderId="9"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vertical="center"/>
    </x:xf>
  </x:cellXfs>
  <x:cellStyles count="1">
    <x:cellStyle name="Normal" xfId="0"/>
  </x:cellStyles>
  <x:dxfs count="57">
    <x:dxf>
      <x:font>
        <x:b/>
        <x:color rgb="FFA50E0E"/>
      </x:font>
      <x:fill>
        <x:patternFill patternType="solid">
          <x:bgColor rgb="FFFCE8E6"/>
        </x:patternFill>
      </x:fill>
    </x:dxf>
    <x:dxf>
      <x:font>
        <x:b/>
        <x:color rgb="FF137333"/>
      </x:font>
      <x:fill>
        <x:patternFill patternType="solid">
          <x:bgColor rgb="FFE6F4EA"/>
        </x:patternFill>
      </x:fill>
    </x:dxf>
    <x:dxf>
      <x:font>
        <x:b/>
        <x:color rgb="FF137333"/>
      </x:font>
      <x:fill>
        <x:patternFill patternType="solid">
          <x:bgColor rgb="FFE6F4EA"/>
        </x:patternFill>
      </x:fill>
    </x:dxf>
    <x:dxf>
      <x:font>
        <x:b/>
        <x:color rgb="FF8A5B00"/>
      </x:font>
      <x:fill>
        <x:patternFill patternType="solid">
          <x:bgColor rgb="FFFEF7E0"/>
        </x:patternFill>
      </x:fill>
    </x:dxf>
    <x:dxf>
      <x:font>
        <x:b/>
        <x:color rgb="FFA50E0E"/>
      </x:font>
      <x:fill>
        <x:patternFill patternType="solid">
          <x:bgColor rgb="FFFCE8E6"/>
        </x:patternFill>
      </x:fill>
    </x:dxf>
    <x:dxf>
      <x:font>
        <x:b/>
        <x:color rgb="FF137333"/>
      </x:font>
      <x:fill>
        <x:patternFill patternType="solid">
          <x:bgColor rgb="FFE6F4EA"/>
        </x:patternFill>
      </x:fill>
    </x:dxf>
    <x:dxf>
      <x:font>
        <x:b/>
        <x:color rgb="FF137333"/>
      </x:font>
      <x:fill>
        <x:patternFill patternType="solid">
          <x:bgColor rgb="FFE6F4EA"/>
        </x:patternFill>
      </x:fill>
    </x:dxf>
    <x:dxf>
      <x:font>
        <x:b/>
        <x:color rgb="FF8A5B00"/>
      </x:font>
      <x:fill>
        <x:patternFill patternType="solid">
          <x:bgColor rgb="FFFEF7E0"/>
        </x:patternFill>
      </x:fill>
    </x:dxf>
    <x:dxf>
      <x:font>
        <x:b/>
        <x:color rgb="FFA50E0E"/>
      </x:font>
      <x:fill>
        <x:patternFill patternType="solid">
          <x:bgColor rgb="FFFCE8E6"/>
        </x:patternFill>
      </x:fill>
    </x:dxf>
    <x:dxf>
      <x:font>
        <x:b/>
        <x:color rgb="FF137333"/>
      </x:font>
      <x:fill>
        <x:patternFill patternType="solid">
          <x:bgColor rgb="FFE6F4EA"/>
        </x:patternFill>
      </x:fill>
    </x:dxf>
    <x:dxf>
      <x:font>
        <x:b/>
        <x:color rgb="FF137333"/>
      </x:font>
      <x:fill>
        <x:patternFill patternType="solid">
          <x:bgColor rgb="FFE6F4EA"/>
        </x:patternFill>
      </x:fill>
    </x:dxf>
    <x:dxf>
      <x:font>
        <x:b/>
        <x:color rgb="FF8A5B00"/>
      </x:font>
      <x:fill>
        <x:patternFill patternType="solid">
          <x:bgColor rgb="FFFEF7E0"/>
        </x:patternFill>
      </x:fill>
    </x:dxf>
    <x:dxf>
      <x:font>
        <x:b/>
        <x:color rgb="FFA50E0E"/>
      </x:font>
      <x:fill>
        <x:patternFill patternType="solid">
          <x:bgColor rgb="FFFCE8E6"/>
        </x:patternFill>
      </x:fill>
    </x:dxf>
    <x:dxf>
      <x:font>
        <x:b/>
        <x:color rgb="FF137333"/>
      </x:font>
      <x:fill>
        <x:patternFill patternType="solid">
          <x:bgColor rgb="FFE6F4EA"/>
        </x:patternFill>
      </x:fill>
    </x:dxf>
    <x:dxf>
      <x:font>
        <x:b/>
        <x:color rgb="FF137333"/>
      </x:font>
      <x:fill>
        <x:patternFill patternType="solid">
          <x:bgColor rgb="FFE6F4EA"/>
        </x:patternFill>
      </x:fill>
    </x:dxf>
    <x:dxf>
      <x:font>
        <x:b/>
        <x:color rgb="FF8A5B00"/>
      </x:font>
      <x:fill>
        <x:patternFill patternType="solid">
          <x:bgColor rgb="FFFEF7E0"/>
        </x:patternFill>
      </x:fill>
    </x:dxf>
    <x:dxf>
      <x:font>
        <x:b/>
        <x:color rgb="FFA50E0E"/>
      </x:font>
      <x:fill>
        <x:patternFill patternType="solid">
          <x:bgColor rgb="FFFCE8E6"/>
        </x:patternFill>
      </x:fill>
    </x:dxf>
    <x:dxf>
      <x:font>
        <x:b/>
        <x:color rgb="FF137333"/>
      </x:font>
      <x:fill>
        <x:patternFill patternType="solid">
          <x:bgColor rgb="FFE6F4EA"/>
        </x:patternFill>
      </x:fill>
    </x:dxf>
    <x:dxf>
      <x:font>
        <x:b/>
        <x:color rgb="FF137333"/>
      </x:font>
      <x:fill>
        <x:patternFill patternType="solid">
          <x:bgColor rgb="FFE6F4EA"/>
        </x:patternFill>
      </x:fill>
    </x:dxf>
    <x:dxf>
      <x:font>
        <x:b/>
        <x:color rgb="FF8A5B00"/>
      </x:font>
      <x:fill>
        <x:patternFill patternType="solid">
          <x:bgColor rgb="FFFEF7E0"/>
        </x:patternFill>
      </x:fill>
    </x:dxf>
    <x:dxf>
      <x:font>
        <x:b/>
        <x:color rgb="FFA50E0E"/>
      </x:font>
      <x:fill>
        <x:patternFill patternType="solid">
          <x:bgColor rgb="FFFCE8E6"/>
        </x:patternFill>
      </x:fill>
    </x:dxf>
    <x:dxf>
      <x:font>
        <x:b/>
        <x:color rgb="FF137333"/>
      </x:font>
      <x:fill>
        <x:patternFill patternType="solid">
          <x:bgColor rgb="FFE6F4EA"/>
        </x:patternFill>
      </x:fill>
    </x:dxf>
    <x:dxf>
      <x:font>
        <x:b/>
        <x:color rgb="FF137333"/>
      </x:font>
      <x:fill>
        <x:patternFill patternType="solid">
          <x:bgColor rgb="FFE6F4EA"/>
        </x:patternFill>
      </x:fill>
    </x:dxf>
    <x:dxf>
      <x:font>
        <x:b/>
        <x:color rgb="FF8A5B00"/>
      </x:font>
      <x:fill>
        <x:patternFill patternType="solid">
          <x:bgColor rgb="FFFEF7E0"/>
        </x:patternFill>
      </x:fill>
    </x:dxf>
    <x:dxf>
      <x:font>
        <x:b/>
        <x:color rgb="FFA50E0E"/>
      </x:font>
      <x:fill>
        <x:patternFill patternType="solid">
          <x:bgColor rgb="FFFCE8E6"/>
        </x:patternFill>
      </x:fill>
    </x:dxf>
    <x:dxf>
      <x:font>
        <x:b/>
        <x:color rgb="FF137333"/>
      </x:font>
      <x:fill>
        <x:patternFill patternType="solid">
          <x:bgColor rgb="FFE6F4EA"/>
        </x:patternFill>
      </x:fill>
    </x:dxf>
    <x:dxf>
      <x:font>
        <x:b/>
        <x:color rgb="FF137333"/>
      </x:font>
      <x:fill>
        <x:patternFill patternType="solid">
          <x:bgColor rgb="FFE6F4EA"/>
        </x:patternFill>
      </x:fill>
    </x:dxf>
    <x:dxf>
      <x:font>
        <x:b/>
        <x:color rgb="FF8A5B00"/>
      </x:font>
      <x:fill>
        <x:patternFill patternType="solid">
          <x:bgColor rgb="FFFEF7E0"/>
        </x:patternFill>
      </x:fill>
    </x:dxf>
    <x:dxf>
      <x:font>
        <x:b/>
        <x:color rgb="FFA50E0E"/>
      </x:font>
      <x:fill>
        <x:patternFill patternType="solid">
          <x:bgColor rgb="FFFCE8E6"/>
        </x:patternFill>
      </x:fill>
    </x:dxf>
    <x:dxf>
      <x:font>
        <x:b/>
        <x:color rgb="FF137333"/>
      </x:font>
      <x:fill>
        <x:patternFill patternType="solid">
          <x:bgColor rgb="FFE6F4EA"/>
        </x:patternFill>
      </x:fill>
    </x:dxf>
    <x:dxf>
      <x:font>
        <x:b/>
        <x:color rgb="FF137333"/>
      </x:font>
      <x:fill>
        <x:patternFill patternType="solid">
          <x:bgColor rgb="FFE6F4EA"/>
        </x:patternFill>
      </x:fill>
    </x:dxf>
    <x:dxf>
      <x:font>
        <x:b/>
        <x:color rgb="FF8A5B00"/>
      </x:font>
      <x:fill>
        <x:patternFill patternType="solid">
          <x:bgColor rgb="FFFEF7E0"/>
        </x:patternFill>
      </x:fill>
    </x:dxf>
    <x:dxf>
      <x:font>
        <x:b/>
        <x:color rgb="FFA50E0E"/>
      </x:font>
      <x:fill>
        <x:patternFill patternType="solid">
          <x:bgColor rgb="FFFCE8E6"/>
        </x:patternFill>
      </x:fill>
    </x:dxf>
    <x:dxf>
      <x:font>
        <x:b/>
        <x:color rgb="FF137333"/>
      </x:font>
      <x:fill>
        <x:patternFill patternType="solid">
          <x:bgColor rgb="FFE6F4EA"/>
        </x:patternFill>
      </x:fill>
    </x:dxf>
    <x:dxf>
      <x:font>
        <x:b/>
        <x:color rgb="FF137333"/>
      </x:font>
      <x:fill>
        <x:patternFill patternType="solid">
          <x:bgColor rgb="FFE6F4EA"/>
        </x:patternFill>
      </x:fill>
    </x:dxf>
    <x:dxf>
      <x:font>
        <x:b/>
        <x:color rgb="FF8A5B00"/>
      </x:font>
      <x:fill>
        <x:patternFill patternType="solid">
          <x:bgColor rgb="FFFEF7E0"/>
        </x:patternFill>
      </x:fill>
    </x:dxf>
    <x:dxf>
      <x:font>
        <x:b/>
        <x:color rgb="FFA50E0E"/>
      </x:font>
      <x:fill>
        <x:patternFill patternType="solid">
          <x:bgColor rgb="FFFCE8E6"/>
        </x:patternFill>
      </x:fill>
    </x:dxf>
    <x:dxf>
      <x:font>
        <x:b/>
        <x:color rgb="FF137333"/>
      </x:font>
      <x:fill>
        <x:patternFill patternType="solid">
          <x:bgColor rgb="FFE6F4EA"/>
        </x:patternFill>
      </x:fill>
    </x:dxf>
    <x:dxf>
      <x:font>
        <x:b/>
        <x:color rgb="FF137333"/>
      </x:font>
      <x:fill>
        <x:patternFill patternType="solid">
          <x:bgColor rgb="FFE6F4EA"/>
        </x:patternFill>
      </x:fill>
    </x:dxf>
    <x:dxf>
      <x:font>
        <x:b/>
        <x:color rgb="FF8A5B00"/>
      </x:font>
      <x:fill>
        <x:patternFill patternType="solid">
          <x:bgColor rgb="FFFEF7E0"/>
        </x:patternFill>
      </x:fill>
    </x:dxf>
    <x:dxf>
      <x:font>
        <x:b/>
        <x:color rgb="FFA50E0E"/>
      </x:font>
      <x:fill>
        <x:patternFill patternType="solid">
          <x:bgColor rgb="FFFCE8E6"/>
        </x:patternFill>
      </x:fill>
    </x:dxf>
    <x:dxf>
      <x:font>
        <x:b/>
        <x:color rgb="FF137333"/>
      </x:font>
      <x:fill>
        <x:patternFill patternType="solid">
          <x:bgColor rgb="FFE6F4EA"/>
        </x:patternFill>
      </x:fill>
    </x:dxf>
    <x:dxf>
      <x:font>
        <x:b/>
        <x:color rgb="FF137333"/>
      </x:font>
      <x:fill>
        <x:patternFill patternType="solid">
          <x:bgColor rgb="FFE6F4EA"/>
        </x:patternFill>
      </x:fill>
    </x:dxf>
    <x:dxf>
      <x:font>
        <x:b/>
        <x:color rgb="FF8A5B00"/>
      </x:font>
      <x:fill>
        <x:patternFill patternType="solid">
          <x:bgColor rgb="FFFEF7E0"/>
        </x:patternFill>
      </x:fill>
    </x:dxf>
    <x:dxf>
      <x:font>
        <x:b/>
        <x:color rgb="FFA50E0E"/>
      </x:font>
      <x:fill>
        <x:patternFill patternType="solid">
          <x:bgColor rgb="FFFCE8E6"/>
        </x:patternFill>
      </x:fill>
    </x:dxf>
    <x:dxf>
      <x:font>
        <x:b/>
        <x:color rgb="FF137333"/>
      </x:font>
      <x:fill>
        <x:patternFill patternType="solid">
          <x:bgColor rgb="FFE6F4EA"/>
        </x:patternFill>
      </x:fill>
    </x:dxf>
    <x:dxf>
      <x:font>
        <x:b/>
        <x:color rgb="FF137333"/>
      </x:font>
      <x:fill>
        <x:patternFill patternType="solid">
          <x:bgColor rgb="FFE6F4EA"/>
        </x:patternFill>
      </x:fill>
    </x:dxf>
    <x:dxf>
      <x:font>
        <x:b/>
        <x:color rgb="FF8A5B00"/>
      </x:font>
      <x:fill>
        <x:patternFill patternType="solid">
          <x:bgColor rgb="FFFEF7E0"/>
        </x:patternFill>
      </x:fill>
    </x:dxf>
    <x:dxf>
      <x:font>
        <x:b/>
        <x:color rgb="FFA50E0E"/>
      </x:font>
      <x:fill>
        <x:patternFill patternType="solid">
          <x:bgColor rgb="FFFCE8E6"/>
        </x:patternFill>
      </x:fill>
    </x:dxf>
    <x:dxf>
      <x:font>
        <x:b/>
        <x:color rgb="FF137333"/>
      </x:font>
      <x:fill>
        <x:patternFill patternType="solid">
          <x:bgColor rgb="FFE6F4EA"/>
        </x:patternFill>
      </x:fill>
    </x:dxf>
    <x:dxf>
      <x:font>
        <x:b/>
        <x:color rgb="FF137333"/>
      </x:font>
      <x:fill>
        <x:patternFill patternType="solid">
          <x:bgColor rgb="FFE6F4EA"/>
        </x:patternFill>
      </x:fill>
    </x:dxf>
    <x:dxf>
      <x:font>
        <x:b/>
        <x:color rgb="FF8A5B00"/>
      </x:font>
      <x:fill>
        <x:patternFill patternType="solid">
          <x:bgColor rgb="FFFEF7E0"/>
        </x:patternFill>
      </x:fill>
    </x:dxf>
    <x:dxf>
      <x:font>
        <x:b/>
        <x:color rgb="FFA50E0E"/>
      </x:font>
      <x:fill>
        <x:patternFill patternType="solid">
          <x:bgColor rgb="FFFCE8E6"/>
        </x:patternFill>
      </x:fill>
    </x:dxf>
    <x:dxf>
      <x:font>
        <x:b/>
        <x:color rgb="FF137333"/>
      </x:font>
      <x:fill>
        <x:patternFill patternType="solid">
          <x:bgColor rgb="FFE6F4EA"/>
        </x:patternFill>
      </x:fill>
    </x:dxf>
    <x:dxf>
      <x:font>
        <x:b/>
        <x:color rgb="FF137333"/>
      </x:font>
      <x:fill>
        <x:patternFill patternType="solid">
          <x:bgColor rgb="FFE6F4EA"/>
        </x:patternFill>
      </x:fill>
    </x:dxf>
    <x:dxf>
      <x:font>
        <x:b/>
        <x:color rgb="FF8A5B00"/>
      </x:font>
      <x:fill>
        <x:patternFill patternType="solid">
          <x:bgColor rgb="FFFEF7E0"/>
        </x:patternFill>
      </x:fill>
    </x:dxf>
    <x:dxf>
      <x:font>
        <x:b/>
        <x:color rgb="FFA50E0E"/>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dbbf13df1944a4" /><Relationship Type="http://schemas.openxmlformats.org/officeDocument/2006/relationships/theme" Target="/xl/theme/theme1.xml" Id="Rbdce229e6e9e40f9" /><Relationship Type="http://schemas.microsoft.com/office/2022/11/relationships/FeaturePropertyBag" Target="/xl/featurePropertyBag/featurePropertyBag.xml" Id="Rc830c8c1c0cb4317" /><Relationship Type="http://schemas.openxmlformats.org/officeDocument/2006/relationships/sharedStrings" Target="/xl/sharedStrings.xml" Id="Ra50c27ebaa084f93" /><Relationship Type="http://schemas.openxmlformats.org/officeDocument/2006/relationships/worksheet" Target="/xl/worksheets/sheet1.xml" Id="Rc98c7de425ce488c" /><Relationship Type="http://schemas.openxmlformats.org/officeDocument/2006/relationships/worksheet" Target="/xl/worksheets/sheet2.xml" Id="R6267e3f5a6634b2d" /><Relationship Type="http://schemas.openxmlformats.org/officeDocument/2006/relationships/worksheet" Target="/xl/worksheets/sheet3.xml" Id="R27b77c28d6604183" /><Relationship Type="http://schemas.openxmlformats.org/officeDocument/2006/relationships/worksheet" Target="/xl/worksheets/sheet4.xml" Id="R45289ff71b124f2b" /><Relationship Type="http://schemas.openxmlformats.org/officeDocument/2006/relationships/worksheet" Target="/xl/worksheets/sheet5.xml" Id="Rf3b9e12c7b724a23" /><Relationship Type="http://schemas.openxmlformats.org/officeDocument/2006/relationships/worksheet" Target="/xl/worksheets/sheet6.xml" Id="R58b24c7862684b23" /><Relationship Type="http://schemas.openxmlformats.org/officeDocument/2006/relationships/worksheet" Target="/xl/worksheets/sheet7.xml" Id="R83456ae7c445423d" /><Relationship Type="http://schemas.openxmlformats.org/officeDocument/2006/relationships/worksheet" Target="/xl/worksheets/sheet8.xml" Id="Red6252229c2d4524" /><Relationship Type="http://schemas.openxmlformats.org/officeDocument/2006/relationships/worksheet" Target="/xl/worksheets/sheet9.xml" Id="R7e89271d9c0b4c03" /><Relationship Type="http://schemas.openxmlformats.org/officeDocument/2006/relationships/worksheet" Target="/xl/worksheets/sheet10.xml" Id="Rcbf2bb453c304cec" /><Relationship Type="http://schemas.openxmlformats.org/officeDocument/2006/relationships/worksheet" Target="/xl/worksheets/sheet11.xml" Id="R8e5b27ea83054695" /><Relationship Type="http://schemas.openxmlformats.org/officeDocument/2006/relationships/worksheet" Target="/xl/worksheets/sheet12.xml" Id="R58e57871b5bc4dfd" /><Relationship Type="http://schemas.openxmlformats.org/officeDocument/2006/relationships/worksheet" Target="/xl/worksheets/sheet13.xml" Id="R3622191b2d814839" /><Relationship Type="http://schemas.openxmlformats.org/officeDocument/2006/relationships/worksheet" Target="/xl/worksheets/sheet14.xml" Id="R0d79129924224e35" /><Relationship Type="http://schemas.openxmlformats.org/officeDocument/2006/relationships/worksheet" Target="/xl/worksheets/sheet15.xml" Id="Rf4eabb230cee4740" /><Relationship Type="http://schemas.openxmlformats.org/officeDocument/2006/relationships/worksheet" Target="/xl/worksheets/sheet16.xml" Id="R2c7fbc1bf4da443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SSettings" displayName="TSSettings" ref="A1:F15" headerRowCount="1" totalsRowCount="0" totalsRowShown="0">
  <x:autoFilter ref="A1:F15"/>
  <x:tableColumns count="6">
    <x:tableColumn id="1" name="key"/>
    <x:tableColumn id="2" name="value"/>
    <x:tableColumn id="3" name="value_type"/>
    <x:tableColumn id="4" name="status"/>
    <x:tableColumn id="5" name="help"/>
    <x:tableColumn id="6" name="row_check"/>
  </x:tableColumns>
  <x:tableStyleInfo name="TableStyleLight1" showFirstColumn="0" showLastColumn="0" showRowStripes="1" showColumnStripes="0"/>
</x:table>
</file>

<file path=xl/tables/table2.xml><?xml version="1.0" encoding="utf-8"?>
<x:table xmlns:x="http://schemas.openxmlformats.org/spreadsheetml/2006/main" id="2" name="TSAssets" displayName="TSAssets" ref="A1:G17" headerRowCount="1" totalsRowCount="0" totalsRowShown="0">
  <x:autoFilter ref="A1:G17"/>
  <x:tableColumns count="7">
    <x:tableColumn id="1" name="asset_id"/>
    <x:tableColumn id="2" name="name"/>
    <x:tableColumn id="3" name="url"/>
    <x:tableColumn id="4" name="alt_text"/>
    <x:tableColumn id="5" name="status"/>
    <x:tableColumn id="6" name="sort_order"/>
    <x:tableColumn id="7" name="row_check"/>
  </x:tableColumns>
  <x:tableStyleInfo name="TableStyleLight1" showFirstColumn="0" showLastColumn="0" showRowStripes="1" showColumnStripes="0"/>
</x:table>
</file>

<file path=xl/tables/table3.xml><?xml version="1.0" encoding="utf-8"?>
<x:table xmlns:x="http://schemas.openxmlformats.org/spreadsheetml/2006/main" id="3" name="TSNavigation" displayName="TSNavigation" ref="A1:I6" headerRowCount="1" totalsRowCount="0" totalsRowShown="0">
  <x:autoFilter ref="A1:I6"/>
  <x:tableColumns count="9">
    <x:tableColumn id="1" name="id"/>
    <x:tableColumn id="2" name="label"/>
    <x:tableColumn id="3" name="icon"/>
    <x:tableColumn id="4" name="target"/>
    <x:tableColumn id="5" name="path"/>
    <x:tableColumn id="6" name="enabled"/>
    <x:tableColumn id="7" name="status"/>
    <x:tableColumn id="8" name="sort_order"/>
    <x:tableColumn id="9" name="row_check"/>
  </x:tableColumns>
  <x:tableStyleInfo name="TableStyleLight1" showFirstColumn="0" showLastColumn="0" showRowStripes="1" showColumnStripes="0"/>
</x:table>
</file>

<file path=xl/tables/table4.xml><?xml version="1.0" encoding="utf-8"?>
<x:table xmlns:x="http://schemas.openxmlformats.org/spreadsheetml/2006/main" id="4" name="TSBanners" displayName="TSBanners" ref="A1:N4" headerRowCount="1" totalsRowCount="0" totalsRowShown="0">
  <x:autoFilter ref="A1:N4"/>
  <x:tableColumns count="14">
    <x:tableColumn id="1" name="id"/>
    <x:tableColumn id="2" name="eyebrow"/>
    <x:tableColumn id="3" name="title"/>
    <x:tableColumn id="4" name="subtitle"/>
    <x:tableColumn id="5" name="cta_label"/>
    <x:tableColumn id="6" name="path"/>
    <x:tableColumn id="7" name="image_asset_id"/>
    <x:tableColumn id="8" name="image_url_override"/>
    <x:tableColumn id="9" name="background_color"/>
    <x:tableColumn id="10" name="text_color"/>
    <x:tableColumn id="11" name="enabled"/>
    <x:tableColumn id="12" name="status"/>
    <x:tableColumn id="13" name="sort_order"/>
    <x:tableColumn id="14" name="row_check"/>
  </x:tableColumns>
  <x:tableStyleInfo name="TableStyleLight1" showFirstColumn="0" showLastColumn="0" showRowStripes="1" showColumnStripes="0"/>
</x:table>
</file>

<file path=xl/tables/table5.xml><?xml version="1.0" encoding="utf-8"?>
<x:table xmlns:x="http://schemas.openxmlformats.org/spreadsheetml/2006/main" id="5" name="TSCollections" displayName="TSCollections" ref="A1:J10" headerRowCount="1" totalsRowCount="0" totalsRowShown="0">
  <x:autoFilter ref="A1:J10"/>
  <x:tableColumns count="10">
    <x:tableColumn id="1" name="id"/>
    <x:tableColumn id="2" name="title"/>
    <x:tableColumn id="3" name="subtitle"/>
    <x:tableColumn id="4" name="path"/>
    <x:tableColumn id="5" name="image_asset_id"/>
    <x:tableColumn id="6" name="image_url_override"/>
    <x:tableColumn id="7" name="enabled"/>
    <x:tableColumn id="8" name="status"/>
    <x:tableColumn id="9" name="sort_order"/>
    <x:tableColumn id="10" name="row_check"/>
  </x:tableColumns>
  <x:tableStyleInfo name="TableStyleLight1" showFirstColumn="0" showLastColumn="0" showRowStripes="1" showColumnStripes="0"/>
</x:table>
</file>

<file path=xl/tables/table6.xml><?xml version="1.0" encoding="utf-8"?>
<x:table xmlns:x="http://schemas.openxmlformats.org/spreadsheetml/2006/main" id="6" name="TSProductRails" displayName="TSProductRails" ref="A1:H3" headerRowCount="1" totalsRowCount="0" totalsRowShown="0">
  <x:autoFilter ref="A1:H3"/>
  <x:tableColumns count="8">
    <x:tableColumn id="1" name="id"/>
    <x:tableColumn id="2" name="title"/>
    <x:tableColumn id="3" name="subtitle"/>
    <x:tableColumn id="4" name="max_items"/>
    <x:tableColumn id="5" name="enabled"/>
    <x:tableColumn id="6" name="status"/>
    <x:tableColumn id="7" name="sort_order"/>
    <x:tableColumn id="8" name="row_check"/>
  </x:tableColumns>
  <x:tableStyleInfo name="TableStyleLight1" showFirstColumn="0" showLastColumn="0" showRowStripes="1" showColumnStripes="0"/>
</x:table>
</file>

<file path=xl/tables/table7.xml><?xml version="1.0" encoding="utf-8"?>
<x:table xmlns:x="http://schemas.openxmlformats.org/spreadsheetml/2006/main" id="7" name="TSProducts" displayName="TSProducts" ref="A1:P7" headerRowCount="1" totalsRowCount="0" totalsRowShown="0">
  <x:autoFilter ref="A1:P7"/>
  <x:tableColumns count="16">
    <x:tableColumn id="1" name="id"/>
    <x:tableColumn id="2" name="rail_id"/>
    <x:tableColumn id="3" name="title"/>
    <x:tableColumn id="4" name="subtitle"/>
    <x:tableColumn id="5" name="badge"/>
    <x:tableColumn id="6" name="price_label"/>
    <x:tableColumn id="7" name="path"/>
    <x:tableColumn id="8" name="image_asset_id"/>
    <x:tableColumn id="9" name="image_url_override"/>
    <x:tableColumn id="10" name="cuisine"/>
    <x:tableColumn id="11" name="diet"/>
    <x:tableColumn id="12" name="cities"/>
    <x:tableColumn id="13" name="enabled"/>
    <x:tableColumn id="14" name="status"/>
    <x:tableColumn id="15" name="sort_order"/>
    <x:tableColumn id="16" name="row_check"/>
  </x:tableColumns>
  <x:tableStyleInfo name="TableStyleLight1" showFirstColumn="0" showLastColumn="0" showRowStripes="1" showColumnStripes="0"/>
</x:table>
</file>

<file path=xl/tables/table8.xml><?xml version="1.0" encoding="utf-8"?>
<x:table xmlns:x="http://schemas.openxmlformats.org/spreadsheetml/2006/main" id="8" name="TSQuickLinks" displayName="TSQuickLinks" ref="A1:I5" headerRowCount="1" totalsRowCount="0" totalsRowShown="0">
  <x:autoFilter ref="A1:I5"/>
  <x:tableColumns count="9">
    <x:tableColumn id="1" name="id"/>
    <x:tableColumn id="2" name="title"/>
    <x:tableColumn id="3" name="subtitle"/>
    <x:tableColumn id="4" name="icon"/>
    <x:tableColumn id="5" name="path"/>
    <x:tableColumn id="6" name="enabled"/>
    <x:tableColumn id="7" name="status"/>
    <x:tableColumn id="8" name="sort_order"/>
    <x:tableColumn id="9" name="row_check"/>
  </x:tableColumns>
  <x:tableStyleInfo name="TableStyleLight1" showFirstColumn="0" showLastColumn="0" showRowStripes="1" showColumnStripes="0"/>
</x:table>
</file>

<file path=xl/tables/table9.xml><?xml version="1.0" encoding="utf-8"?>
<x:table xmlns:x="http://schemas.openxmlformats.org/spreadsheetml/2006/main" id="9" name="TSHomeSections" displayName="TSHomeSections" ref="A1:I6" headerRowCount="1" totalsRowCount="0" totalsRowShown="0">
  <x:autoFilter ref="A1:I6"/>
  <x:tableColumns count="9">
    <x:tableColumn id="1" name="id"/>
    <x:tableColumn id="2" name="type"/>
    <x:tableColumn id="3" name="title"/>
    <x:tableColumn id="4" name="subtitle"/>
    <x:tableColumn id="5" name="reference_id"/>
    <x:tableColumn id="6" name="enabled"/>
    <x:tableColumn id="7" name="status"/>
    <x:tableColumn id="8" name="sort_order"/>
    <x:tableColumn id="9" name="row_check"/>
  </x:tableColumns>
  <x:tableStyleInfo name="TableStyleLight1" showFirstColumn="0" showLastColumn="0" showRowStripes="1" showColumnStripes="0"/>
</x:table>
</file>

<file path=xl/tables/table10.xml><?xml version="1.0" encoding="utf-8"?>
<x:table xmlns:x="http://schemas.openxmlformats.org/spreadsheetml/2006/main" id="10" name="TSAppCopy" displayName="TSAppCopy" ref="A1:E32" headerRowCount="1" totalsRowCount="0" totalsRowShown="0">
  <x:autoFilter ref="A1:E32"/>
  <x:tableColumns count="5">
    <x:tableColumn id="1" name="key"/>
    <x:tableColumn id="2" name="value"/>
    <x:tableColumn id="3" name="status"/>
    <x:tableColumn id="4" name="notes"/>
    <x:tableColumn id="5" name="row_check"/>
  </x:tableColumns>
  <x:tableStyleInfo name="TableStyleLight1" showFirstColumn="0" showLastColumn="0" showRowStripes="1" showColumnStripes="0"/>
</x:table>
</file>

<file path=xl/tables/table11.xml><?xml version="1.0" encoding="utf-8"?>
<x:table xmlns:x="http://schemas.openxmlformats.org/spreadsheetml/2006/main" id="11" name="TSContactActions" displayName="TSContactActions" ref="A1:K5" headerRowCount="1" totalsRowCount="0" totalsRowShown="0">
  <x:autoFilter ref="A1:K5"/>
  <x:tableColumns count="11">
    <x:tableColumn id="1" name="id"/>
    <x:tableColumn id="2" name="title"/>
    <x:tableColumn id="3" name="subtitle"/>
    <x:tableColumn id="4" name="channel"/>
    <x:tableColumn id="5" name="recipient"/>
    <x:tableColumn id="6" name="subject"/>
    <x:tableColumn id="7" name="body"/>
    <x:tableColumn id="8" name="enabled"/>
    <x:tableColumn id="9" name="status"/>
    <x:tableColumn id="10" name="sort_order"/>
    <x:tableColumn id="11" name="row_check"/>
  </x:tableColumns>
  <x:tableStyleInfo name="TableStyleLight1" showFirstColumn="0" showLastColumn="0" showRowStripes="1" showColumnStripes="0"/>
</x:table>
</file>

<file path=xl/tables/table12.xml><?xml version="1.0" encoding="utf-8"?>
<x:table xmlns:x="http://schemas.openxmlformats.org/spreadsheetml/2006/main" id="12" name="TSFeatureFlags" displayName="TSFeatureFlags" ref="A1:E7" headerRowCount="1" totalsRowCount="0" totalsRowShown="0">
  <x:autoFilter ref="A1:E7"/>
  <x:tableColumns count="5">
    <x:tableColumn id="1" name="key"/>
    <x:tableColumn id="2" name="enabled"/>
    <x:tableColumn id="3" name="status"/>
    <x:tableColumn id="4" name="description"/>
    <x:tableColumn id="5" name="row_check"/>
  </x:tableColumns>
  <x:tableStyleInfo name="TableStyleLight1" showFirstColumn="0" showLastColumn="0" showRowStripes="1" showColumnStripes="0"/>
</x:table>
</file>

<file path=xl/tables/table13.xml><?xml version="1.0" encoding="utf-8"?>
<x:table xmlns:x="http://schemas.openxmlformats.org/spreadsheetml/2006/main" id="13" name="TSMessages" displayName="TSMessages" ref="A1:L2" headerRowCount="1" totalsRowCount="0" totalsRowShown="0">
  <x:autoFilter ref="A1:L2"/>
  <x:tableColumns count="12">
    <x:tableColumn id="1" name="id"/>
    <x:tableColumn id="2" name="title"/>
    <x:tableColumn id="3" name="body"/>
    <x:tableColumn id="4" name="style"/>
    <x:tableColumn id="5" name="cta_label"/>
    <x:tableColumn id="6" name="path"/>
    <x:tableColumn id="7" name="starts_at"/>
    <x:tableColumn id="8" name="ends_at"/>
    <x:tableColumn id="9" name="enabled"/>
    <x:tableColumn id="10" name="status"/>
    <x:tableColumn id="11" name="sort_order"/>
    <x:tableColumn id="12" name="row_check"/>
  </x:tableColumns>
  <x:tableStyleInfo name="TableStyleLight1" showFirstColumn="0" showLastColumn="0" showRowStripes="1" showColumnStripes="0"/>
</x:table>
</file>

<file path=xl/tables/table14.xml><?xml version="1.0" encoding="utf-8"?>
<x:table xmlns:x="http://schemas.openxmlformats.org/spreadsheetml/2006/main" id="14" name="TSCities" displayName="TSCities" ref="A1:E24" headerRowCount="1" totalsRowCount="0" totalsRowShown="0">
  <x:autoFilter ref="A1:E24"/>
  <x:tableColumns count="5">
    <x:tableColumn id="1" name="city"/>
    <x:tableColumn id="2" name="enabled"/>
    <x:tableColumn id="3" name="status"/>
    <x:tableColumn id="4" name="sort_order"/>
    <x:tableColumn id="5" name="row_check"/>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3ad641cff3c4e05" /></Relationships>
</file>

<file path=xl/worksheets/_rels/sheet2.xml.rels>&#65279;<?xml version="1.0" encoding="utf-8"?><Relationships xmlns="http://schemas.openxmlformats.org/package/2006/relationships"><Relationship Type="http://schemas.openxmlformats.org/officeDocument/2006/relationships/table" Target="/xl/tables/table2.xml" Id="Radbc77b0c2cc4f1c" /></Relationships>
</file>

<file path=xl/worksheets/_rels/sheet3.xml.rels>&#65279;<?xml version="1.0" encoding="utf-8"?><Relationships xmlns="http://schemas.openxmlformats.org/package/2006/relationships"><Relationship Type="http://schemas.openxmlformats.org/officeDocument/2006/relationships/table" Target="/xl/tables/table3.xml" Id="R708c1cdf84f240b8" /></Relationships>
</file>

<file path=xl/worksheets/_rels/sheet4.xml.rels>&#65279;<?xml version="1.0" encoding="utf-8"?><Relationships xmlns="http://schemas.openxmlformats.org/package/2006/relationships"><Relationship Type="http://schemas.openxmlformats.org/officeDocument/2006/relationships/table" Target="/xl/tables/table4.xml" Id="R3d08ed95e9d94181" /></Relationships>
</file>

<file path=xl/worksheets/_rels/sheet5.xml.rels>&#65279;<?xml version="1.0" encoding="utf-8"?><Relationships xmlns="http://schemas.openxmlformats.org/package/2006/relationships"><Relationship Type="http://schemas.openxmlformats.org/officeDocument/2006/relationships/table" Target="/xl/tables/table5.xml" Id="R19151f9177fc4819" /></Relationships>
</file>

<file path=xl/worksheets/_rels/sheet6.xml.rels>&#65279;<?xml version="1.0" encoding="utf-8"?><Relationships xmlns="http://schemas.openxmlformats.org/package/2006/relationships"><Relationship Type="http://schemas.openxmlformats.org/officeDocument/2006/relationships/table" Target="/xl/tables/table6.xml" Id="Ra5c15010b7f04305" /></Relationships>
</file>

<file path=xl/worksheets/_rels/sheet7.xml.rels>&#65279;<?xml version="1.0" encoding="utf-8"?><Relationships xmlns="http://schemas.openxmlformats.org/package/2006/relationships"><Relationship Type="http://schemas.openxmlformats.org/officeDocument/2006/relationships/table" Target="/xl/tables/table7.xml" Id="R04a47e969f88466f" /></Relationships>
</file>

<file path=xl/worksheets/_rels/sheet8.xml.rels>&#65279;<?xml version="1.0" encoding="utf-8"?><Relationships xmlns="http://schemas.openxmlformats.org/package/2006/relationships"><Relationship Type="http://schemas.openxmlformats.org/officeDocument/2006/relationships/table" Target="/xl/tables/table8.xml" Id="Ref983698a4e74ef5" /></Relationships>
</file>

<file path=xl/worksheets/_rels/sheet9.xml.rels>&#65279;<?xml version="1.0" encoding="utf-8"?><Relationships xmlns="http://schemas.openxmlformats.org/package/2006/relationships"><Relationship Type="http://schemas.openxmlformats.org/officeDocument/2006/relationships/table" Target="/xl/tables/table9.xml" Id="R9e11687e33ec422b" /></Relationships>
</file>

<file path=xl/worksheets/_rels/sheet10.xml.rels>&#65279;<?xml version="1.0" encoding="utf-8"?><Relationships xmlns="http://schemas.openxmlformats.org/package/2006/relationships"><Relationship Type="http://schemas.openxmlformats.org/officeDocument/2006/relationships/table" Target="/xl/tables/table10.xml" Id="R0ba3dd0e964b499b" /></Relationships>
</file>

<file path=xl/worksheets/_rels/sheet11.xml.rels>&#65279;<?xml version="1.0" encoding="utf-8"?><Relationships xmlns="http://schemas.openxmlformats.org/package/2006/relationships"><Relationship Type="http://schemas.openxmlformats.org/officeDocument/2006/relationships/table" Target="/xl/tables/table11.xml" Id="R2be46b668e1a4e3c" /></Relationships>
</file>

<file path=xl/worksheets/_rels/sheet12.xml.rels>&#65279;<?xml version="1.0" encoding="utf-8"?><Relationships xmlns="http://schemas.openxmlformats.org/package/2006/relationships"><Relationship Type="http://schemas.openxmlformats.org/officeDocument/2006/relationships/table" Target="/xl/tables/table12.xml" Id="Rccc1af7b03284329" /></Relationships>
</file>

<file path=xl/worksheets/_rels/sheet13.xml.rels>&#65279;<?xml version="1.0" encoding="utf-8"?><Relationships xmlns="http://schemas.openxmlformats.org/package/2006/relationships"><Relationship Type="http://schemas.openxmlformats.org/officeDocument/2006/relationships/table" Target="/xl/tables/table13.xml" Id="Rb3c3bb3729084913" /></Relationships>
</file>

<file path=xl/worksheets/_rels/sheet14.xml.rels>&#65279;<?xml version="1.0" encoding="utf-8"?><Relationships xmlns="http://schemas.openxmlformats.org/package/2006/relationships"><Relationship Type="http://schemas.openxmlformats.org/officeDocument/2006/relationships/table" Target="/xl/tables/table14.xml" Id="Rb7049f0dd72c4cc3" /></Relationships>
</file>

<file path=xl/worksheets/sheet1.xml><?xml version="1.0" encoding="utf-8"?>
<x:worksheet xmlns:x="http://schemas.openxmlformats.org/spreadsheetml/2006/main">
  <x:sheetPr>
    <x:tabColor rgb="FFDE5200"/>
  </x:sheetPr>
  <x:sheetViews>
    <x:sheetView showGridLines="0" workbookViewId="0">
      <x:pane ySplit="1" topLeftCell="A2" activePane="bottomLeft" state="frozen"/>
    </x:sheetView>
  </x:sheetViews>
  <x:sheetFormatPr defaultRowHeight="15"/>
  <x:cols>
    <x:col min="1" max="1" width="21.110000610351562" hidden="0" customWidth="1"/>
    <x:col min="2" max="2" width="33.33000183105469" hidden="0" customWidth="1"/>
    <x:col min="3" max="3" width="12.220000267028809" hidden="0" customWidth="1"/>
    <x:col min="4" max="4" width="10" hidden="0" customWidth="1"/>
    <x:col min="5" max="5" width="36.66999816894531" hidden="0" customWidth="1"/>
    <x:col min="6" max="6" width="10.5600004196167" hidden="0" customWidth="1"/>
  </x:cols>
  <x:sheetData>
    <x:row r="1" ht="25.5" customHeight="1">
      <x:c r="A1" s="11" t="str">
        <x:v>key</x:v>
      </x:c>
      <x:c r="B1" s="11" t="str">
        <x:v>value</x:v>
      </x:c>
      <x:c r="C1" s="11" t="str">
        <x:v>value_type</x:v>
      </x:c>
      <x:c r="D1" s="11" t="str">
        <x:v>status</x:v>
      </x:c>
      <x:c r="E1" s="11" t="str">
        <x:v>help</x:v>
      </x:c>
      <x:c r="F1" s="11" t="str">
        <x:v>row_check</x:v>
      </x:c>
    </x:row>
    <x:row r="2" ht="39" customHeight="1">
      <x:c r="A2" s="8" t="str">
        <x:v>schema_version</x:v>
      </x:c>
      <x:c r="B2" s="8" t="n">
        <x:v>1</x:v>
      </x:c>
      <x:c r="C2" s="8" t="str">
        <x:v>number</x:v>
      </x:c>
      <x:c r="D2" s="8" t="str">
        <x:v>LIVE</x:v>
      </x:c>
      <x:c r="E2" s="8" t="str">
        <x:v>Locked. Must remain 1 for this app build.</x:v>
      </x:c>
      <x:c r="F2" s="12" t="str">
        <x:f>IF(OR(A2="",C2="",D2="",AND(C2&lt;&gt;"boolean",B2="")),"FIX","READY")</x:f>
        <x:v>READY</x:v>
      </x:c>
    </x:row>
    <x:row r="3" ht="39" customHeight="1">
      <x:c r="A3" s="8" t="str">
        <x:v>content_version</x:v>
      </x:c>
      <x:c r="B3" s="8" t="str">
        <x:v>2026.09.12.1</x:v>
      </x:c>
      <x:c r="C3" s="8" t="str">
        <x:v>text</x:v>
      </x:c>
      <x:c r="D3" s="8" t="str">
        <x:v>LIVE</x:v>
      </x:c>
      <x:c r="E3" s="8" t="str">
        <x:v>Increase this after a coordinated content release.</x:v>
      </x:c>
      <x:c r="F3" s="12" t="str">
        <x:f>IF(OR(A3="",C3="",D3="",AND(C3&lt;&gt;"boolean",B3="")),"FIX","READY")</x:f>
        <x:v>READY</x:v>
      </x:c>
    </x:row>
    <x:row r="4" ht="39" customHeight="1">
      <x:c r="A4" s="8" t="str">
        <x:v>store_name</x:v>
      </x:c>
      <x:c r="B4" s="8" t="str">
        <x:v>TiffinStash</x:v>
      </x:c>
      <x:c r="C4" s="8" t="str">
        <x:v>text</x:v>
      </x:c>
      <x:c r="D4" s="8" t="str">
        <x:v>LIVE</x:v>
      </x:c>
      <x:c r="E4" s="8" t="str">
        <x:v>Brand name shown in app-owned UI.</x:v>
      </x:c>
      <x:c r="F4" s="12" t="str">
        <x:f>IF(OR(A4="",C4="",D4="",AND(C4&lt;&gt;"boolean",B4="")),"FIX","READY")</x:f>
        <x:v>READY</x:v>
      </x:c>
    </x:row>
    <x:row r="5" ht="39" customHeight="1">
      <x:c r="A5" s="8" t="str">
        <x:v>announcement_enabled</x:v>
      </x:c>
      <x:c r="B5" s="9" t="b">
        <x:v>1</x:v>
      </x:c>
      <x:c r="C5" s="8" t="str">
        <x:v>boolean</x:v>
      </x:c>
      <x:c r="D5" s="8" t="str">
        <x:v>LIVE</x:v>
      </x:c>
      <x:c r="E5" s="8" t="str">
        <x:v>Turns the announcement bar on or off.</x:v>
      </x:c>
      <x:c r="F5" s="12" t="str">
        <x:f>IF(OR(A5="",C5="",D5="",AND(C5&lt;&gt;"boolean",B5="")),"FIX","READY")</x:f>
        <x:v>READY</x:v>
      </x:c>
    </x:row>
    <x:row r="6" ht="39" customHeight="1">
      <x:c r="A6" s="8" t="str">
        <x:v>announcement_text</x:v>
      </x:c>
      <x:c r="B6" s="8" t="str">
        <x:v>Fresh home-style meals, delivered across the GTA</x:v>
      </x:c>
      <x:c r="C6" s="8" t="str">
        <x:v>text</x:v>
      </x:c>
      <x:c r="D6" s="8" t="str">
        <x:v>LIVE</x:v>
      </x:c>
      <x:c r="E6" s="8" t="str">
        <x:v>Short one-line announcement.</x:v>
      </x:c>
      <x:c r="F6" s="12" t="str">
        <x:f>IF(OR(A6="",C6="",D6="",AND(C6&lt;&gt;"boolean",B6="")),"FIX","READY")</x:f>
        <x:v>READY</x:v>
      </x:c>
    </x:row>
    <x:row r="7" ht="39" customHeight="1">
      <x:c r="A7" s="8" t="str">
        <x:v>support_email</x:v>
      </x:c>
      <x:c r="B7" s="8" t="str">
        <x:v>info@tiffinstash.com</x:v>
      </x:c>
      <x:c r="C7" s="8" t="str">
        <x:v>text</x:v>
      </x:c>
      <x:c r="D7" s="8" t="str">
        <x:v>LIVE</x:v>
      </x:c>
      <x:c r="E7" s="8" t="str">
        <x:v>Fallback support email.</x:v>
      </x:c>
      <x:c r="F7" s="12" t="str">
        <x:f>IF(OR(A7="",C7="",D7="",AND(C7&lt;&gt;"boolean",B7="")),"FIX","READY")</x:f>
        <x:v>READY</x:v>
      </x:c>
    </x:row>
    <x:row r="8" ht="39" customHeight="1">
      <x:c r="A8" s="8" t="str">
        <x:v>whatsapp_number</x:v>
      </x:c>
      <x:c r="B8" s="8" t="str">
        <x:v>14379373267</x:v>
      </x:c>
      <x:c r="C8" s="8" t="str">
        <x:v>text</x:v>
      </x:c>
      <x:c r="D8" s="8" t="str">
        <x:v>LIVE</x:v>
      </x:c>
      <x:c r="E8" s="8" t="str">
        <x:v>Digits only, including country code.</x:v>
      </x:c>
      <x:c r="F8" s="12" t="str">
        <x:f>IF(OR(A8="",C8="",D8="",AND(C8&lt;&gt;"boolean",B8="")),"FIX","READY")</x:f>
        <x:v>READY</x:v>
      </x:c>
    </x:row>
    <x:row r="9" ht="39" customHeight="1">
      <x:c r="A9" s="8" t="str">
        <x:v>default_city</x:v>
      </x:c>
      <x:c r="B9" s="8" t="str">
        <x:v>All areas</x:v>
      </x:c>
      <x:c r="C9" s="8" t="str">
        <x:v>text</x:v>
      </x:c>
      <x:c r="D9" s="8" t="str">
        <x:v>LIVE</x:v>
      </x:c>
      <x:c r="E9" s="8" t="str">
        <x:v>First city shown on a new install.</x:v>
      </x:c>
      <x:c r="F9" s="12" t="str">
        <x:f>IF(OR(A9="",C9="",D9="",AND(C9&lt;&gt;"boolean",B9="")),"FIX","READY")</x:f>
        <x:v>READY</x:v>
      </x:c>
    </x:row>
    <x:row r="10" ht="39" customHeight="1">
      <x:c r="A10" s="8" t="str">
        <x:v>currency</x:v>
      </x:c>
      <x:c r="B10" s="8" t="str">
        <x:v>CAD</x:v>
      </x:c>
      <x:c r="C10" s="8" t="str">
        <x:v>text</x:v>
      </x:c>
      <x:c r="D10" s="8" t="str">
        <x:v>LIVE</x:v>
      </x:c>
      <x:c r="E10" s="8" t="str">
        <x:v>Display currency label only. Checkout remains Shopify-owned.</x:v>
      </x:c>
      <x:c r="F10" s="12" t="str">
        <x:f>IF(OR(A10="",C10="",D10="",AND(C10&lt;&gt;"boolean",B10="")),"FIX","READY")</x:f>
        <x:v>READY</x:v>
      </x:c>
    </x:row>
    <x:row r="11" ht="39" customHeight="1">
      <x:c r="A11" s="8" t="str">
        <x:v>cache_minutes</x:v>
      </x:c>
      <x:c r="B11" s="8" t="n">
        <x:v>15</x:v>
      </x:c>
      <x:c r="C11" s="8" t="str">
        <x:v>number</x:v>
      </x:c>
      <x:c r="D11" s="8" t="str">
        <x:v>LIVE</x:v>
      </x:c>
      <x:c r="E11" s="8" t="str">
        <x:v>Published content cache, 1–30 minutes.</x:v>
      </x:c>
      <x:c r="F11" s="12" t="str">
        <x:f>IF(OR(A11="",C11="",D11="",AND(C11&lt;&gt;"boolean",B11="")),"FIX","READY")</x:f>
        <x:v>READY</x:v>
      </x:c>
    </x:row>
    <x:row r="12" ht="39" customHeight="1">
      <x:c r="A12" s="8" t="str">
        <x:v>maintenance_mode</x:v>
      </x:c>
      <x:c r="B12" s="9" t="b">
        <x:v>0</x:v>
      </x:c>
      <x:c r="C12" s="8" t="str">
        <x:v>boolean</x:v>
      </x:c>
      <x:c r="D12" s="8" t="str">
        <x:v>LIVE</x:v>
      </x:c>
      <x:c r="E12" s="8" t="str">
        <x:v>TRUE shows maintenance screen; Shopify website remains available.</x:v>
      </x:c>
      <x:c r="F12" s="12" t="str">
        <x:f>IF(OR(A12="",C12="",D12="",AND(C12&lt;&gt;"boolean",B12="")),"FIX","READY")</x:f>
        <x:v>READY</x:v>
      </x:c>
    </x:row>
    <x:row r="13" ht="39" customHeight="1">
      <x:c r="A13" s="8" t="str">
        <x:v>maintenance_title</x:v>
      </x:c>
      <x:c r="B13" s="8" t="str">
        <x:v>We’ll be right back</x:v>
      </x:c>
      <x:c r="C13" s="8" t="str">
        <x:v>text</x:v>
      </x:c>
      <x:c r="D13" s="8" t="str">
        <x:v>LIVE</x:v>
      </x:c>
      <x:c r="E13" s="8" t="str">
        <x:v>Maintenance-screen title.</x:v>
      </x:c>
      <x:c r="F13" s="12" t="str">
        <x:f>IF(OR(A13="",C13="",D13="",AND(C13&lt;&gt;"boolean",B13="")),"FIX","READY")</x:f>
        <x:v>READY</x:v>
      </x:c>
    </x:row>
    <x:row r="14" ht="39" customHeight="1">
      <x:c r="A14" s="8" t="str">
        <x:v>maintenance_body</x:v>
      </x:c>
      <x:c r="B14" s="8" t="str">
        <x:v>TiffinStash is getting a quick refresh. You can still shop on the website.</x:v>
      </x:c>
      <x:c r="C14" s="8" t="str">
        <x:v>text</x:v>
      </x:c>
      <x:c r="D14" s="8" t="str">
        <x:v>LIVE</x:v>
      </x:c>
      <x:c r="E14" s="8" t="str">
        <x:v>Maintenance-screen explanation.</x:v>
      </x:c>
      <x:c r="F14" s="12" t="str">
        <x:f>IF(OR(A14="",C14="",D14="",AND(C14&lt;&gt;"boolean",B14="")),"FIX","READY")</x:f>
        <x:v>READY</x:v>
      </x:c>
    </x:row>
    <x:row r="15" ht="39" customHeight="1">
      <x:c r="A15" s="8" t="str">
        <x:v>maintenance_cta_label</x:v>
      </x:c>
      <x:c r="B15" s="8" t="str">
        <x:v>Open tiffinstash.com</x:v>
      </x:c>
      <x:c r="C15" s="8" t="str">
        <x:v>text</x:v>
      </x:c>
      <x:c r="D15" s="8" t="str">
        <x:v>LIVE</x:v>
      </x:c>
      <x:c r="E15" s="8" t="str">
        <x:v>Button label on maintenance screen.</x:v>
      </x:c>
      <x:c r="F15" s="12" t="str">
        <x:f>IF(OR(A15="",C15="",D15="",AND(C15&lt;&gt;"boolean",B15="")),"FIX","READY")</x:f>
        <x:v>READY</x:v>
      </x:c>
    </x:row>
  </x:sheetData>
  <x:conditionalFormatting sqref="F2:F15">
    <x:cfRule type="containsText" dxfId="0" priority="1" operator="containsText" text="FIX"/>
    <x:cfRule type="containsText" dxfId="1" priority="2" operator="containsText" text="READY"/>
  </x:conditionalFormatting>
  <x:conditionalFormatting sqref="D2:D15">
    <x:cfRule type="containsText" dxfId="2" priority="3" operator="containsText" text="LIVE"/>
    <x:cfRule type="containsText" dxfId="3" priority="4" operator="containsText" text="DRAFT"/>
  </x:conditionalFormatting>
  <x:dataValidations count="2">
    <x:dataValidation type="list" sqref="C2:C15">
      <x:formula1>"text,number,boolean"</x:formula1>
    </x:dataValidation>
    <x:dataValidation type="list" sqref="D2:D15">
      <x:formula1>"LIVE,DRAFT"</x:formula1>
    </x:dataValidation>
  </x:dataValidations>
  <x:pageMargins left="0.7" right="0.7" top="0.75" bottom="0.75" header="0.3" footer="0.3"/>
  <x:tableParts count="1">
    <x:tablePart xmlns:r="http://schemas.openxmlformats.org/officeDocument/2006/relationships" r:id="Rf3ad641cff3c4e05"/>
  </x:tableParts>
</x:worksheet>
</file>

<file path=xl/worksheets/sheet2.xml><?xml version="1.0" encoding="utf-8"?>
<x:worksheet xmlns:x="http://schemas.openxmlformats.org/spreadsheetml/2006/main">
  <x:sheetPr>
    <x:tabColor rgb="FFDE5200"/>
  </x:sheetPr>
  <x:sheetViews>
    <x:sheetView showGridLines="0" workbookViewId="0">
      <x:pane ySplit="1" topLeftCell="A2" activePane="bottomLeft" state="frozen"/>
    </x:sheetView>
  </x:sheetViews>
  <x:sheetFormatPr defaultRowHeight="15"/>
  <x:cols>
    <x:col min="1" max="1" width="21.110000610351562" hidden="0" customWidth="1"/>
    <x:col min="2" max="2" width="20" hidden="0" customWidth="1"/>
    <x:col min="3" max="3" width="43.33000183105469" hidden="0" customWidth="1"/>
    <x:col min="4" max="4" width="26.670000076293945" hidden="0" customWidth="1"/>
    <x:col min="5" max="5" width="10" hidden="0" customWidth="1"/>
    <x:col min="6" max="6" width="10" hidden="0" customWidth="1"/>
    <x:col min="7" max="7" width="10.5600004196167" hidden="0" customWidth="1"/>
  </x:cols>
  <x:sheetData>
    <x:row r="1" ht="25.5" customHeight="1">
      <x:c r="A1" s="11" t="str">
        <x:v>asset_id</x:v>
      </x:c>
      <x:c r="B1" s="11" t="str">
        <x:v>name</x:v>
      </x:c>
      <x:c r="C1" s="11" t="str">
        <x:v>url</x:v>
      </x:c>
      <x:c r="D1" s="11" t="str">
        <x:v>alt_text</x:v>
      </x:c>
      <x:c r="E1" s="11" t="str">
        <x:v>status</x:v>
      </x:c>
      <x:c r="F1" s="11" t="str">
        <x:v>sort_order</x:v>
      </x:c>
      <x:c r="G1" s="11" t="str">
        <x:v>row_check</x:v>
      </x:c>
    </x:row>
    <x:row r="2" ht="43.5" customHeight="1">
      <x:c r="A2" s="8" t="str">
        <x:v>logo_wordmark</x:v>
      </x:c>
      <x:c r="B2" s="8" t="str">
        <x:v>Logo Wordmark</x:v>
      </x:c>
      <x:c r="C2" s="8" t="str">
        <x:v>https://tiffinstash.com/cdn/shop/files/Primary_Logo_2_bcd35983-7aaf-4df7-981e-0e5bb4e1489c_360x.png?v=1746643091</x:v>
      </x:c>
      <x:c r="D2" s="8" t="str">
        <x:v>TiffinStash</x:v>
      </x:c>
      <x:c r="E2" s="8" t="str">
        <x:v>LIVE</x:v>
      </x:c>
      <x:c r="F2" s="8" t="n">
        <x:v>10</x:v>
      </x:c>
      <x:c r="G2" s="12" t="str">
        <x:f>IF(OR(A2="",C2="",D2="",E2=""),"FIX","READY")</x:f>
        <x:v>READY</x:v>
      </x:c>
    </x:row>
    <x:row r="3" ht="43.5" customHeight="1">
      <x:c r="A3" s="8" t="str">
        <x:v>hero_tiffin</x:v>
      </x:c>
      <x:c r="B3" s="8" t="str">
        <x:v>Hero Tiffin</x:v>
      </x:c>
      <x:c r="C3" s="8" t="str">
        <x:v>https://cdn.shopify.com/s/files/1/0572/9982/8907/files/d-tiffin_2INb.png?v=1778018126737</x:v>
      </x:c>
      <x:c r="D3" s="8" t="str">
        <x:v>Fresh TiffinStash meal</x:v>
      </x:c>
      <x:c r="E3" s="8" t="str">
        <x:v>LIVE</x:v>
      </x:c>
      <x:c r="F3" s="8" t="n">
        <x:v>20</x:v>
      </x:c>
      <x:c r="G3" s="12" t="str">
        <x:f>IF(OR(A3="",C3="",D3="",E3=""),"FIX","READY")</x:f>
        <x:v>READY</x:v>
      </x:c>
    </x:row>
    <x:row r="4" ht="43.5" customHeight="1">
      <x:c r="A4" s="8" t="str">
        <x:v>hero_healthy</x:v>
      </x:c>
      <x:c r="B4" s="8" t="str">
        <x:v>Hero Healthy</x:v>
      </x:c>
      <x:c r="C4" s="8" t="str">
        <x:v>https://cdn.shopify.com/s/files/1/0572/9982/8907/files/d-healthymeal_sue2.png?v=1778018127127</x:v>
      </x:c>
      <x:c r="D4" s="8" t="str">
        <x:v>Healthy meal from TiffinStash</x:v>
      </x:c>
      <x:c r="E4" s="8" t="str">
        <x:v>LIVE</x:v>
      </x:c>
      <x:c r="F4" s="8" t="n">
        <x:v>30</x:v>
      </x:c>
      <x:c r="G4" s="12" t="str">
        <x:f>IF(OR(A4="",C4="",D4="",E4=""),"FIX","READY")</x:f>
        <x:v>READY</x:v>
      </x:c>
    </x:row>
    <x:row r="5" ht="43.5" customHeight="1">
      <x:c r="A5" s="8" t="str">
        <x:v>hero_rasoi</x:v>
      </x:c>
      <x:c r="B5" s="8" t="str">
        <x:v>Hero Rasoi</x:v>
      </x:c>
      <x:c r="C5" s="8" t="str">
        <x:v>https://cdn.shopify.com/s/files/1/0572/9982/8907/files/d-rasoi_vYIM.png?v=1778018127200</x:v>
      </x:c>
      <x:c r="D5" s="8" t="str">
        <x:v>Rasoi Essentials</x:v>
      </x:c>
      <x:c r="E5" s="8" t="str">
        <x:v>LIVE</x:v>
      </x:c>
      <x:c r="F5" s="8" t="n">
        <x:v>40</x:v>
      </x:c>
      <x:c r="G5" s="12" t="str">
        <x:f>IF(OR(A5="",C5="",D5="",E5=""),"FIX","READY")</x:f>
        <x:v>READY</x:v>
      </x:c>
    </x:row>
    <x:row r="6" ht="43.5" customHeight="1">
      <x:c r="A6" s="8" t="str">
        <x:v>cuisine_punjabi</x:v>
      </x:c>
      <x:c r="B6" s="8" t="str">
        <x:v>Cuisine Punjabi</x:v>
      </x:c>
      <x:c r="C6" s="8" t="str">
        <x:v>https://cdn.shopify.com/s/files/1/0572/9982/8907/files/punjabi_uwMk.png?v=1754042952474</x:v>
      </x:c>
      <x:c r="D6" s="8" t="str">
        <x:v>Punjabi meal</x:v>
      </x:c>
      <x:c r="E6" s="8" t="str">
        <x:v>LIVE</x:v>
      </x:c>
      <x:c r="F6" s="8" t="n">
        <x:v>50</x:v>
      </x:c>
      <x:c r="G6" s="12" t="str">
        <x:f>IF(OR(A6="",C6="",D6="",E6=""),"FIX","READY")</x:f>
        <x:v>READY</x:v>
      </x:c>
    </x:row>
    <x:row r="7" ht="43.5" customHeight="1">
      <x:c r="A7" s="8" t="str">
        <x:v>cuisine_gujarati</x:v>
      </x:c>
      <x:c r="B7" s="8" t="str">
        <x:v>Cuisine Gujarati</x:v>
      </x:c>
      <x:c r="C7" s="8" t="str">
        <x:v>https://cdn.shopify.com/s/files/1/0572/9982/8907/files/gujarati_XoCk.png?v=1754042953178</x:v>
      </x:c>
      <x:c r="D7" s="8" t="str">
        <x:v>Gujarati meal</x:v>
      </x:c>
      <x:c r="E7" s="8" t="str">
        <x:v>LIVE</x:v>
      </x:c>
      <x:c r="F7" s="8" t="n">
        <x:v>60</x:v>
      </x:c>
      <x:c r="G7" s="12" t="str">
        <x:f>IF(OR(A7="",C7="",D7="",E7=""),"FIX","READY")</x:f>
        <x:v>READY</x:v>
      </x:c>
    </x:row>
    <x:row r="8" ht="43.5" customHeight="1">
      <x:c r="A8" s="8" t="str">
        <x:v>cuisine_swaminarayan</x:v>
      </x:c>
      <x:c r="B8" s="8" t="str">
        <x:v>Cuisine Swaminarayan</x:v>
      </x:c>
      <x:c r="C8" s="8" t="str">
        <x:v>https://cdn.shopify.com/s/files/1/0572/9982/8907/files/swami_JUej.png?v=1754042953681</x:v>
      </x:c>
      <x:c r="D8" s="8" t="str">
        <x:v>Swaminarayan meal</x:v>
      </x:c>
      <x:c r="E8" s="8" t="str">
        <x:v>LIVE</x:v>
      </x:c>
      <x:c r="F8" s="8" t="n">
        <x:v>70</x:v>
      </x:c>
      <x:c r="G8" s="12" t="str">
        <x:f>IF(OR(A8="",C8="",D8="",E8=""),"FIX","READY")</x:f>
        <x:v>READY</x:v>
      </x:c>
    </x:row>
    <x:row r="9" ht="43.5" customHeight="1">
      <x:c r="A9" s="8" t="str">
        <x:v>cuisine_south_indian</x:v>
      </x:c>
      <x:c r="B9" s="8" t="str">
        <x:v>Cuisine South Indian</x:v>
      </x:c>
      <x:c r="C9" s="8" t="str">
        <x:v>https://cdn.shopify.com/s/files/1/0572/9982/8907/files/southindian_aDxH.png?v=1754042952400</x:v>
      </x:c>
      <x:c r="D9" s="8" t="str">
        <x:v>South Indian meal</x:v>
      </x:c>
      <x:c r="E9" s="8" t="str">
        <x:v>LIVE</x:v>
      </x:c>
      <x:c r="F9" s="8" t="n">
        <x:v>80</x:v>
      </x:c>
      <x:c r="G9" s="12" t="str">
        <x:f>IF(OR(A9="",C9="",D9="",E9=""),"FIX","READY")</x:f>
        <x:v>READY</x:v>
      </x:c>
    </x:row>
    <x:row r="10" ht="43.5" customHeight="1">
      <x:c r="A10" s="8" t="str">
        <x:v>cuisine_jain</x:v>
      </x:c>
      <x:c r="B10" s="8" t="str">
        <x:v>Cuisine Jain</x:v>
      </x:c>
      <x:c r="C10" s="8" t="str">
        <x:v>https://cdn.shopify.com/s/files/1/0572/9982/8907/files/jain_ziPJ.png?v=1774288819935</x:v>
      </x:c>
      <x:c r="D10" s="8" t="str">
        <x:v>Jain meal</x:v>
      </x:c>
      <x:c r="E10" s="8" t="str">
        <x:v>LIVE</x:v>
      </x:c>
      <x:c r="F10" s="8" t="n">
        <x:v>90</x:v>
      </x:c>
      <x:c r="G10" s="12" t="str">
        <x:f>IF(OR(A10="",C10="",D10="",E10=""),"FIX","READY")</x:f>
        <x:v>READY</x:v>
      </x:c>
    </x:row>
    <x:row r="11" ht="43.5" customHeight="1">
      <x:c r="A11" s="8" t="str">
        <x:v>cuisine_nigerian</x:v>
      </x:c>
      <x:c r="B11" s="8" t="str">
        <x:v>Cuisine Nigerian</x:v>
      </x:c>
      <x:c r="C11" s="8" t="str">
        <x:v>https://cdn.shopify.com/s/files/1/0572/9982/8907/files/Nigerian.png?v=1773348919554</x:v>
      </x:c>
      <x:c r="D11" s="8" t="str">
        <x:v>Nigerian meal</x:v>
      </x:c>
      <x:c r="E11" s="8" t="str">
        <x:v>LIVE</x:v>
      </x:c>
      <x:c r="F11" s="8" t="n">
        <x:v>100</x:v>
      </x:c>
      <x:c r="G11" s="12" t="str">
        <x:f>IF(OR(A11="",C11="",D11="",E11=""),"FIX","READY")</x:f>
        <x:v>READY</x:v>
      </x:c>
    </x:row>
    <x:row r="12" ht="43.5" customHeight="1">
      <x:c r="A12" s="8" t="str">
        <x:v>cuisine_pakistani</x:v>
      </x:c>
      <x:c r="B12" s="8" t="str">
        <x:v>Cuisine Pakistani</x:v>
      </x:c>
      <x:c r="C12" s="8" t="str">
        <x:v>https://cdn.shopify.com/s/files/1/0572/9982/8907/files/pakistani_pKHj.png?v=1764842980190</x:v>
      </x:c>
      <x:c r="D12" s="8" t="str">
        <x:v>Pakistani meal</x:v>
      </x:c>
      <x:c r="E12" s="8" t="str">
        <x:v>LIVE</x:v>
      </x:c>
      <x:c r="F12" s="8" t="n">
        <x:v>110</x:v>
      </x:c>
      <x:c r="G12" s="12" t="str">
        <x:f>IF(OR(A12="",C12="",D12="",E12=""),"FIX","READY")</x:f>
        <x:v>READY</x:v>
      </x:c>
    </x:row>
    <x:row r="13" ht="43.5" customHeight="1">
      <x:c r="A13" s="8" t="str">
        <x:v>cuisine_north_indian</x:v>
      </x:c>
      <x:c r="B13" s="8" t="str">
        <x:v>Cuisine North Indian</x:v>
      </x:c>
      <x:c r="C13" s="8" t="str">
        <x:v>https://cdn.shopify.com/s/files/1/0572/9982/8907/files/North_Indian.png?v=1765281455742</x:v>
      </x:c>
      <x:c r="D13" s="8" t="str">
        <x:v>North Indian meal</x:v>
      </x:c>
      <x:c r="E13" s="8" t="str">
        <x:v>LIVE</x:v>
      </x:c>
      <x:c r="F13" s="8" t="n">
        <x:v>120</x:v>
      </x:c>
      <x:c r="G13" s="12" t="str">
        <x:f>IF(OR(A13="",C13="",D13="",E13=""),"FIX","READY")</x:f>
        <x:v>READY</x:v>
      </x:c>
    </x:row>
    <x:row r="14" ht="43.5" customHeight="1">
      <x:c r="A14" s="8" t="str">
        <x:v>cuisine_indo_chinese</x:v>
      </x:c>
      <x:c r="B14" s="8" t="str">
        <x:v>Cuisine Indo Chinese</x:v>
      </x:c>
      <x:c r="C14" s="8" t="str">
        <x:v>https://cdn.shopify.com/s/files/1/0572/9982/8907/files/Indo-Chinese_3.png?v=1782323612669</x:v>
      </x:c>
      <x:c r="D14" s="8" t="str">
        <x:v>Indo-Chinese meal</x:v>
      </x:c>
      <x:c r="E14" s="8" t="str">
        <x:v>LIVE</x:v>
      </x:c>
      <x:c r="F14" s="8" t="n">
        <x:v>130</x:v>
      </x:c>
      <x:c r="G14" s="12" t="str">
        <x:f>IF(OR(A14="",C14="",D14="",E14=""),"FIX","READY")</x:f>
        <x:v>READY</x:v>
      </x:c>
    </x:row>
    <x:row r="15" ht="43.5" customHeight="1">
      <x:c r="A15" s="8" t="str">
        <x:v>seller_indias_flavour</x:v>
      </x:c>
      <x:c r="B15" s="8" t="str">
        <x:v>Seller Indias Flavour</x:v>
      </x:c>
      <x:c r="C15" s="8" t="str">
        <x:v>https://cdn.shopify.com/s/files/1/0572/9982/8907/files/bestsellersd_WdDz.png?v=1780514155714</x:v>
      </x:c>
      <x:c r="D15" s="8" t="str">
        <x:v>India’s Flavour meal</x:v>
      </x:c>
      <x:c r="E15" s="8" t="str">
        <x:v>LIVE</x:v>
      </x:c>
      <x:c r="F15" s="8" t="n">
        <x:v>140</x:v>
      </x:c>
      <x:c r="G15" s="12" t="str">
        <x:f>IF(OR(A15="",C15="",D15="",E15=""),"FIX","READY")</x:f>
        <x:v>READY</x:v>
      </x:c>
    </x:row>
    <x:row r="16" ht="43.5" customHeight="1">
      <x:c r="A16" s="8" t="str">
        <x:v>seller_lals_kitchen</x:v>
      </x:c>
      <x:c r="B16" s="8" t="str">
        <x:v>Seller Lals Kitchen</x:v>
      </x:c>
      <x:c r="C16" s="8" t="str">
        <x:v>https://cdn.shopify.com/s/files/1/0572/9982/8907/files/bestsellersd1_FS4l.png?v=1784581831505</x:v>
      </x:c>
      <x:c r="D16" s="8" t="str">
        <x:v>Lal’s Kitchen meal</x:v>
      </x:c>
      <x:c r="E16" s="8" t="str">
        <x:v>LIVE</x:v>
      </x:c>
      <x:c r="F16" s="8" t="n">
        <x:v>150</x:v>
      </x:c>
      <x:c r="G16" s="12" t="str">
        <x:f>IF(OR(A16="",C16="",D16="",E16=""),"FIX","READY")</x:f>
        <x:v>READY</x:v>
      </x:c>
    </x:row>
    <x:row r="17" ht="43.5" customHeight="1">
      <x:c r="A17" s="8" t="str">
        <x:v>seller_krishnas_kitchen</x:v>
      </x:c>
      <x:c r="B17" s="8" t="str">
        <x:v>Seller Krishnas Kitchen</x:v>
      </x:c>
      <x:c r="C17" s="8" t="str">
        <x:v>https://cdn.shopify.com/s/files/1/0572/9982/8907/files/bestsellersd_xIMU.png?v=1784581831870</x:v>
      </x:c>
      <x:c r="D17" s="8" t="str">
        <x:v>Krishna’s Kitchen meal</x:v>
      </x:c>
      <x:c r="E17" s="8" t="str">
        <x:v>LIVE</x:v>
      </x:c>
      <x:c r="F17" s="8" t="n">
        <x:v>160</x:v>
      </x:c>
      <x:c r="G17" s="12" t="str">
        <x:f>IF(OR(A17="",C17="",D17="",E17=""),"FIX","READY")</x:f>
        <x:v>READY</x:v>
      </x:c>
    </x:row>
  </x:sheetData>
  <x:conditionalFormatting sqref="G2:G17">
    <x:cfRule type="containsText" dxfId="4" priority="1" operator="containsText" text="FIX"/>
    <x:cfRule type="containsText" dxfId="5" priority="2" operator="containsText" text="READY"/>
  </x:conditionalFormatting>
  <x:conditionalFormatting sqref="E2:E17">
    <x:cfRule type="containsText" dxfId="6" priority="3" operator="containsText" text="LIVE"/>
    <x:cfRule type="containsText" dxfId="7" priority="4" operator="containsText" text="DRAFT"/>
  </x:conditionalFormatting>
  <x:dataValidations count="2">
    <x:dataValidation type="list" sqref="E2:E17">
      <x:formula1>"LIVE,DRAFT"</x:formula1>
    </x:dataValidation>
    <x:dataValidation type="whole" operator="between" sqref="F2:F17">
      <x:formula1>0</x:formula1>
      <x:formula2>10000</x:formula2>
    </x:dataValidation>
  </x:dataValidations>
  <x:pageMargins left="0.7" right="0.7" top="0.75" bottom="0.75" header="0.3" footer="0.3"/>
  <x:tableParts count="1">
    <x:tablePart xmlns:r="http://schemas.openxmlformats.org/officeDocument/2006/relationships" r:id="Radbc77b0c2cc4f1c"/>
  </x:tableParts>
</x:worksheet>
</file>

<file path=xl/worksheets/sheet3.xml><?xml version="1.0" encoding="utf-8"?>
<x:worksheet xmlns:x="http://schemas.openxmlformats.org/spreadsheetml/2006/main">
  <x:sheetPr>
    <x:tabColor rgb="FFDE5200"/>
  </x:sheetPr>
  <x:sheetViews>
    <x:sheetView showGridLines="0" workbookViewId="0">
      <x:pane ySplit="1" topLeftCell="A2" activePane="bottomLeft" state="frozen"/>
    </x:sheetView>
  </x:sheetViews>
  <x:sheetFormatPr defaultRowHeight="15"/>
  <x:cols>
    <x:col min="1" max="1" width="11.670000076293945" hidden="0" customWidth="1"/>
    <x:col min="2" max="2" width="13.329999923706055" hidden="0" customWidth="1"/>
    <x:col min="3" max="3" width="19.440000534057617" hidden="0" customWidth="1"/>
    <x:col min="4" max="4" width="11.670000076293945" hidden="0" customWidth="1"/>
    <x:col min="5" max="5" width="24.440000534057617" hidden="0" customWidth="1"/>
    <x:col min="6" max="6" width="9.4399995803833" hidden="0" customWidth="1"/>
    <x:col min="7" max="7" width="9.4399995803833" hidden="0" customWidth="1"/>
    <x:col min="8" max="8" width="10" hidden="0" customWidth="1"/>
    <x:col min="9" max="9" width="10.5600004196167" hidden="0" customWidth="1"/>
  </x:cols>
  <x:sheetData>
    <x:row r="1" ht="25.5" customHeight="1">
      <x:c r="A1" s="11" t="str">
        <x:v>id</x:v>
      </x:c>
      <x:c r="B1" s="11" t="str">
        <x:v>label</x:v>
      </x:c>
      <x:c r="C1" s="11" t="str">
        <x:v>icon</x:v>
      </x:c>
      <x:c r="D1" s="11" t="str">
        <x:v>target</x:v>
      </x:c>
      <x:c r="E1" s="11" t="str">
        <x:v>path</x:v>
      </x:c>
      <x:c r="F1" s="11" t="str">
        <x:v>enabled</x:v>
      </x:c>
      <x:c r="G1" s="11" t="str">
        <x:v>status</x:v>
      </x:c>
      <x:c r="H1" s="11" t="str">
        <x:v>sort_order</x:v>
      </x:c>
      <x:c r="I1" s="11" t="str">
        <x:v>row_check</x:v>
      </x:c>
    </x:row>
    <x:row r="2" ht="31.5" customHeight="1">
      <x:c r="A2" s="8" t="str">
        <x:v>home</x:v>
      </x:c>
      <x:c r="B2" s="8" t="str">
        <x:v>Home</x:v>
      </x:c>
      <x:c r="C2" s="8" t="str">
        <x:v>home-outline</x:v>
      </x:c>
      <x:c r="D2" s="8" t="str">
        <x:v>native</x:v>
      </x:c>
      <x:c r="E2" s="8" t="str"/>
      <x:c r="F2" s="9" t="b">
        <x:v>1</x:v>
      </x:c>
      <x:c r="G2" s="8" t="str">
        <x:v>LIVE</x:v>
      </x:c>
      <x:c r="H2" s="8" t="n">
        <x:v>10</x:v>
      </x:c>
      <x:c r="I2" s="12" t="str">
        <x:f>IF(OR(A2="",B2="",C2="",D2="",F2="",G2=""),"FIX","READY")</x:f>
        <x:v>READY</x:v>
      </x:c>
    </x:row>
    <x:row r="3" ht="31.5" customHeight="1">
      <x:c r="A3" s="8" t="str">
        <x:v>explore</x:v>
      </x:c>
      <x:c r="B3" s="8" t="str">
        <x:v>Browse</x:v>
      </x:c>
      <x:c r="C3" s="8" t="str">
        <x:v>search-outline</x:v>
      </x:c>
      <x:c r="D3" s="8" t="str">
        <x:v>native</x:v>
      </x:c>
      <x:c r="E3" s="8" t="str"/>
      <x:c r="F3" s="9" t="b">
        <x:v>1</x:v>
      </x:c>
      <x:c r="G3" s="8" t="str">
        <x:v>LIVE</x:v>
      </x:c>
      <x:c r="H3" s="8" t="n">
        <x:v>20</x:v>
      </x:c>
      <x:c r="I3" s="12" t="str">
        <x:f>IF(OR(A3="",B3="",C3="",D3="",F3="",G3=""),"FIX","READY")</x:f>
        <x:v>READY</x:v>
      </x:c>
    </x:row>
    <x:row r="4" ht="31.5" customHeight="1">
      <x:c r="A4" s="8" t="str">
        <x:v>plan</x:v>
      </x:c>
      <x:c r="B4" s="8" t="str">
        <x:v>My Plan</x:v>
      </x:c>
      <x:c r="C4" s="8" t="str">
        <x:v>calendar-outline</x:v>
      </x:c>
      <x:c r="D4" s="8" t="str">
        <x:v>native</x:v>
      </x:c>
      <x:c r="E4" s="8" t="str"/>
      <x:c r="F4" s="9" t="b">
        <x:v>1</x:v>
      </x:c>
      <x:c r="G4" s="8" t="str">
        <x:v>LIVE</x:v>
      </x:c>
      <x:c r="H4" s="8" t="n">
        <x:v>30</x:v>
      </x:c>
      <x:c r="I4" s="12" t="str">
        <x:f>IF(OR(A4="",B4="",C4="",D4="",F4="",G4=""),"FIX","READY")</x:f>
        <x:v>READY</x:v>
      </x:c>
    </x:row>
    <x:row r="5" ht="31.5" customHeight="1">
      <x:c r="A5" s="8" t="str">
        <x:v>orders</x:v>
      </x:c>
      <x:c r="B5" s="8" t="str">
        <x:v>Orders</x:v>
      </x:c>
      <x:c r="C5" s="8" t="str">
        <x:v>receipt-outline</x:v>
      </x:c>
      <x:c r="D5" s="8" t="str">
        <x:v>native</x:v>
      </x:c>
      <x:c r="E5" s="8" t="str"/>
      <x:c r="F5" s="9" t="b">
        <x:v>1</x:v>
      </x:c>
      <x:c r="G5" s="8" t="str">
        <x:v>LIVE</x:v>
      </x:c>
      <x:c r="H5" s="8" t="n">
        <x:v>40</x:v>
      </x:c>
      <x:c r="I5" s="12" t="str">
        <x:f>IF(OR(A5="",B5="",C5="",D5="",F5="",G5=""),"FIX","READY")</x:f>
        <x:v>READY</x:v>
      </x:c>
    </x:row>
    <x:row r="6" ht="31.5" customHeight="1">
      <x:c r="A6" s="8" t="str">
        <x:v>account</x:v>
      </x:c>
      <x:c r="B6" s="8" t="str">
        <x:v>Account</x:v>
      </x:c>
      <x:c r="C6" s="8" t="str">
        <x:v>person-outline</x:v>
      </x:c>
      <x:c r="D6" s="8" t="str">
        <x:v>native</x:v>
      </x:c>
      <x:c r="E6" s="8" t="str"/>
      <x:c r="F6" s="9" t="b">
        <x:v>1</x:v>
      </x:c>
      <x:c r="G6" s="8" t="str">
        <x:v>LIVE</x:v>
      </x:c>
      <x:c r="H6" s="8" t="n">
        <x:v>50</x:v>
      </x:c>
      <x:c r="I6" s="12" t="str">
        <x:f>IF(OR(A6="",B6="",C6="",D6="",F6="",G6=""),"FIX","READY")</x:f>
        <x:v>READY</x:v>
      </x:c>
    </x:row>
  </x:sheetData>
  <x:conditionalFormatting sqref="I2:I6">
    <x:cfRule type="containsText" dxfId="8" priority="1" operator="containsText" text="FIX"/>
    <x:cfRule type="containsText" dxfId="9" priority="2" operator="containsText" text="READY"/>
  </x:conditionalFormatting>
  <x:conditionalFormatting sqref="G2:G6">
    <x:cfRule type="containsText" dxfId="10" priority="3" operator="containsText" text="LIVE"/>
    <x:cfRule type="containsText" dxfId="11" priority="4" operator="containsText" text="DRAFT"/>
  </x:conditionalFormatting>
  <x:dataValidations count="5">
    <x:dataValidation type="list" sqref="A2:A6">
      <x:formula1>"home,explore,plan,orders,account"</x:formula1>
    </x:dataValidation>
    <x:dataValidation type="list" sqref="D2:D6">
      <x:formula1>"native,shopify"</x:formula1>
    </x:dataValidation>
    <x:dataValidation type="list" sqref="F2:F6">
      <x:formula1>"TRUE,FALSE"</x:formula1>
    </x:dataValidation>
    <x:dataValidation type="list" sqref="G2:G6">
      <x:formula1>"LIVE,DRAFT"</x:formula1>
    </x:dataValidation>
    <x:dataValidation type="whole" operator="between" sqref="H2:H6">
      <x:formula1>0</x:formula1>
      <x:formula2>10000</x:formula2>
    </x:dataValidation>
  </x:dataValidations>
  <x:pageMargins left="0.7" right="0.7" top="0.75" bottom="0.75" header="0.3" footer="0.3"/>
  <x:tableParts count="1">
    <x:tablePart xmlns:r="http://schemas.openxmlformats.org/officeDocument/2006/relationships" r:id="R708c1cdf84f240b8"/>
  </x:tableParts>
</x:worksheet>
</file>

<file path=xl/worksheets/sheet4.xml><?xml version="1.0" encoding="utf-8"?>
<x:worksheet xmlns:x="http://schemas.openxmlformats.org/spreadsheetml/2006/main">
  <x:sheetPr>
    <x:tabColor rgb="FFDE5200"/>
  </x:sheetPr>
  <x:sheetViews>
    <x:sheetView showGridLines="0" workbookViewId="0">
      <x:pane ySplit="1" topLeftCell="A2" activePane="bottomLeft" state="frozen"/>
    </x:sheetView>
  </x:sheetViews>
  <x:sheetFormatPr defaultRowHeight="15"/>
  <x:cols>
    <x:col min="1" max="1" width="18.329999923706055" hidden="0" customWidth="1"/>
    <x:col min="2" max="2" width="23.329999923706055" hidden="0" customWidth="1"/>
    <x:col min="3" max="3" width="31.110000610351562" hidden="0" customWidth="1"/>
    <x:col min="4" max="4" width="33.33000183105469" hidden="0" customWidth="1"/>
    <x:col min="5" max="5" width="15.5600004196167" hidden="0" customWidth="1"/>
    <x:col min="6" max="6" width="26.670000076293945" hidden="0" customWidth="1"/>
    <x:col min="7" max="7" width="18.329999923706055" hidden="0" customWidth="1"/>
    <x:col min="8" max="8" width="31.110000610351562" hidden="0" customWidth="1"/>
    <x:col min="9" max="9" width="13.890000343322754" hidden="0" customWidth="1"/>
    <x:col min="10" max="10" width="12.220000267028809" hidden="0" customWidth="1"/>
    <x:col min="11" max="11" width="8.890000343322754" hidden="0" customWidth="1"/>
    <x:col min="12" max="12" width="8.890000343322754" hidden="0" customWidth="1"/>
    <x:col min="13" max="13" width="9.4399995803833" hidden="0" customWidth="1"/>
    <x:col min="14" max="14" width="10.5600004196167" hidden="0" customWidth="1"/>
  </x:cols>
  <x:sheetData>
    <x:row r="1" ht="25.5" customHeight="1">
      <x:c r="A1" s="11" t="str">
        <x:v>id</x:v>
      </x:c>
      <x:c r="B1" s="11" t="str">
        <x:v>eyebrow</x:v>
      </x:c>
      <x:c r="C1" s="11" t="str">
        <x:v>title</x:v>
      </x:c>
      <x:c r="D1" s="11" t="str">
        <x:v>subtitle</x:v>
      </x:c>
      <x:c r="E1" s="11" t="str">
        <x:v>cta_label</x:v>
      </x:c>
      <x:c r="F1" s="11" t="str">
        <x:v>path</x:v>
      </x:c>
      <x:c r="G1" s="11" t="str">
        <x:v>image_asset_id</x:v>
      </x:c>
      <x:c r="H1" s="11" t="str">
        <x:v>image_url_override</x:v>
      </x:c>
      <x:c r="I1" s="11" t="str">
        <x:v>background_color</x:v>
      </x:c>
      <x:c r="J1" s="11" t="str">
        <x:v>text_color</x:v>
      </x:c>
      <x:c r="K1" s="11" t="str">
        <x:v>enabled</x:v>
      </x:c>
      <x:c r="L1" s="11" t="str">
        <x:v>status</x:v>
      </x:c>
      <x:c r="M1" s="11" t="str">
        <x:v>sort_order</x:v>
      </x:c>
      <x:c r="N1" s="11" t="str">
        <x:v>row_check</x:v>
      </x:c>
    </x:row>
    <x:row r="2" ht="51" customHeight="1">
      <x:c r="A2" s="8" t="str">
        <x:v>fresh_home_style</x:v>
      </x:c>
      <x:c r="B2" s="8" t="str">
        <x:v>FRESH. FAMILIAR. DELIVERED.</x:v>
      </x:c>
      <x:c r="C2" s="8" t="str">
        <x:v>A taste of home, without the daily cooking.</x:v>
      </x:c>
      <x:c r="D2" s="8" t="str">
        <x:v>Explore trusted kitchens and flexible meal plans across the GTA.</x:v>
      </x:c>
      <x:c r="E2" s="8" t="str">
        <x:v>Explore tiffins</x:v>
      </x:c>
      <x:c r="F2" s="8" t="str">
        <x:v>/collections/tiffins</x:v>
      </x:c>
      <x:c r="G2" s="8" t="str">
        <x:v>hero_tiffin</x:v>
      </x:c>
      <x:c r="H2" s="8" t="str"/>
      <x:c r="I2" s="8" t="str">
        <x:v>#DE5200</x:v>
      </x:c>
      <x:c r="J2" s="8" t="str">
        <x:v>#FFFFFF</x:v>
      </x:c>
      <x:c r="K2" s="9" t="b">
        <x:v>1</x:v>
      </x:c>
      <x:c r="L2" s="8" t="str">
        <x:v>LIVE</x:v>
      </x:c>
      <x:c r="M2" s="8" t="n">
        <x:v>10</x:v>
      </x:c>
      <x:c r="N2" s="12" t="str">
        <x:f>IF(OR(A2="",C2="",E2="",F2="",AND(G2="",H2=""),K2="",L2=""),"FIX","READY")</x:f>
        <x:v>READY</x:v>
      </x:c>
    </x:row>
    <x:row r="3" ht="51" customHeight="1">
      <x:c r="A3" s="8" t="str">
        <x:v>healthy_everyday</x:v>
      </x:c>
      <x:c r="B3" s="8" t="str">
        <x:v>FEEL-GOOD FAVOURITES</x:v>
      </x:c>
      <x:c r="C3" s="8" t="str">
        <x:v>Healthy meals that still feel like comfort food.</x:v>
      </x:c>
      <x:c r="D3" s="8" t="str">
        <x:v>Browse balanced options from local TiffinStash sellers.</x:v>
      </x:c>
      <x:c r="E3" s="8" t="str">
        <x:v>See healthy meals</x:v>
      </x:c>
      <x:c r="F3" s="8" t="str">
        <x:v>/collections/healthy-meals</x:v>
      </x:c>
      <x:c r="G3" s="8" t="str">
        <x:v>hero_healthy</x:v>
      </x:c>
      <x:c r="H3" s="8" t="str"/>
      <x:c r="I3" s="8" t="str">
        <x:v>#3F414A</x:v>
      </x:c>
      <x:c r="J3" s="8" t="str">
        <x:v>#FFFFFF</x:v>
      </x:c>
      <x:c r="K3" s="9" t="b">
        <x:v>1</x:v>
      </x:c>
      <x:c r="L3" s="8" t="str">
        <x:v>LIVE</x:v>
      </x:c>
      <x:c r="M3" s="8" t="n">
        <x:v>20</x:v>
      </x:c>
      <x:c r="N3" s="12" t="str">
        <x:f>IF(OR(A3="",C3="",E3="",F3="",AND(G3="",H3=""),K3="",L3=""),"FIX","READY")</x:f>
        <x:v>READY</x:v>
      </x:c>
    </x:row>
    <x:row r="4" ht="51" customHeight="1">
      <x:c r="A4" s="8" t="str">
        <x:v>rasoi_essentials</x:v>
      </x:c>
      <x:c r="B4" s="8" t="str">
        <x:v>STOCK THE RASOI</x:v>
      </x:c>
      <x:c r="C4" s="8" t="str">
        <x:v>Snacks, sweets and pantry favourites.</x:v>
      </x:c>
      <x:c r="D4" s="8" t="str">
        <x:v>Add a little something extra to the week.</x:v>
      </x:c>
      <x:c r="E4" s="8" t="str">
        <x:v>Shop essentials</x:v>
      </x:c>
      <x:c r="F4" s="8" t="str">
        <x:v>/pages/rasoi-essentials</x:v>
      </x:c>
      <x:c r="G4" s="8" t="str">
        <x:v>hero_rasoi</x:v>
      </x:c>
      <x:c r="H4" s="8" t="str"/>
      <x:c r="I4" s="8" t="str">
        <x:v>#FEDC18</x:v>
      </x:c>
      <x:c r="J4" s="8" t="str">
        <x:v>#0D0E15</x:v>
      </x:c>
      <x:c r="K4" s="9" t="b">
        <x:v>1</x:v>
      </x:c>
      <x:c r="L4" s="8" t="str">
        <x:v>LIVE</x:v>
      </x:c>
      <x:c r="M4" s="8" t="n">
        <x:v>30</x:v>
      </x:c>
      <x:c r="N4" s="12" t="str">
        <x:f>IF(OR(A4="",C4="",E4="",F4="",AND(G4="",H4=""),K4="",L4=""),"FIX","READY")</x:f>
        <x:v>READY</x:v>
      </x:c>
    </x:row>
  </x:sheetData>
  <x:conditionalFormatting sqref="N2:N4">
    <x:cfRule type="containsText" dxfId="12" priority="1" operator="containsText" text="FIX"/>
    <x:cfRule type="containsText" dxfId="13" priority="2" operator="containsText" text="READY"/>
  </x:conditionalFormatting>
  <x:conditionalFormatting sqref="L2:L4">
    <x:cfRule type="containsText" dxfId="14" priority="3" operator="containsText" text="LIVE"/>
    <x:cfRule type="containsText" dxfId="15" priority="4" operator="containsText" text="DRAFT"/>
  </x:conditionalFormatting>
  <x:dataValidations count="4">
    <x:dataValidation type="list" sqref="G2:G4">
      <x:formula1>Assets!$A$2:$A$200</x:formula1>
    </x:dataValidation>
    <x:dataValidation type="list" sqref="K2:K4">
      <x:formula1>"TRUE,FALSE"</x:formula1>
    </x:dataValidation>
    <x:dataValidation type="list" sqref="L2:L4">
      <x:formula1>"LIVE,DRAFT"</x:formula1>
    </x:dataValidation>
    <x:dataValidation type="whole" operator="between" sqref="M2:M4">
      <x:formula1>0</x:formula1>
      <x:formula2>10000</x:formula2>
    </x:dataValidation>
  </x:dataValidations>
  <x:pageMargins left="0.7" right="0.7" top="0.75" bottom="0.75" header="0.3" footer="0.3"/>
  <x:tableParts count="1">
    <x:tablePart xmlns:r="http://schemas.openxmlformats.org/officeDocument/2006/relationships" r:id="R3d08ed95e9d94181"/>
  </x:tableParts>
</x:worksheet>
</file>

<file path=xl/worksheets/sheet5.xml><?xml version="1.0" encoding="utf-8"?>
<x:worksheet xmlns:x="http://schemas.openxmlformats.org/spreadsheetml/2006/main">
  <x:sheetPr>
    <x:tabColor rgb="FFDE5200"/>
  </x:sheetPr>
  <x:sheetViews>
    <x:sheetView showGridLines="0" workbookViewId="0">
      <x:pane ySplit="1" topLeftCell="A2" activePane="bottomLeft" state="frozen"/>
    </x:sheetView>
  </x:sheetViews>
  <x:sheetFormatPr defaultRowHeight="15"/>
  <x:cols>
    <x:col min="1" max="1" width="18.329999923706055" hidden="0" customWidth="1"/>
    <x:col min="2" max="2" width="16.670000076293945" hidden="0" customWidth="1"/>
    <x:col min="3" max="3" width="25.559999465942383" hidden="0" customWidth="1"/>
    <x:col min="4" max="4" width="30" hidden="0" customWidth="1"/>
    <x:col min="5" max="5" width="20" hidden="0" customWidth="1"/>
    <x:col min="6" max="6" width="31.110000610351562" hidden="0" customWidth="1"/>
    <x:col min="7" max="7" width="8.890000343322754" hidden="0" customWidth="1"/>
    <x:col min="8" max="8" width="8.890000343322754" hidden="0" customWidth="1"/>
    <x:col min="9" max="9" width="9.4399995803833" hidden="0" customWidth="1"/>
    <x:col min="10" max="10" width="10.5600004196167" hidden="0" customWidth="1"/>
  </x:cols>
  <x:sheetData>
    <x:row r="1" ht="25.5" customHeight="1">
      <x:c r="A1" s="11" t="str">
        <x:v>id</x:v>
      </x:c>
      <x:c r="B1" s="11" t="str">
        <x:v>title</x:v>
      </x:c>
      <x:c r="C1" s="11" t="str">
        <x:v>subtitle</x:v>
      </x:c>
      <x:c r="D1" s="11" t="str">
        <x:v>path</x:v>
      </x:c>
      <x:c r="E1" s="11" t="str">
        <x:v>image_asset_id</x:v>
      </x:c>
      <x:c r="F1" s="11" t="str">
        <x:v>image_url_override</x:v>
      </x:c>
      <x:c r="G1" s="11" t="str">
        <x:v>enabled</x:v>
      </x:c>
      <x:c r="H1" s="11" t="str">
        <x:v>status</x:v>
      </x:c>
      <x:c r="I1" s="11" t="str">
        <x:v>sort_order</x:v>
      </x:c>
      <x:c r="J1" s="11" t="str">
        <x:v>row_check</x:v>
      </x:c>
    </x:row>
    <x:row r="2" ht="31.5" customHeight="1">
      <x:c r="A2" s="8" t="str">
        <x:v>punjabi</x:v>
      </x:c>
      <x:c r="B2" s="8" t="str">
        <x:v>Punjabi</x:v>
      </x:c>
      <x:c r="C2" s="8" t="str">
        <x:v>Rich, hearty favourites</x:v>
      </x:c>
      <x:c r="D2" s="8" t="str">
        <x:v>/collections/punjabi-tiffin-service</x:v>
      </x:c>
      <x:c r="E2" s="8" t="str">
        <x:v>cuisine_punjabi</x:v>
      </x:c>
      <x:c r="F2" s="8" t="str"/>
      <x:c r="G2" s="9" t="b">
        <x:v>1</x:v>
      </x:c>
      <x:c r="H2" s="8" t="str">
        <x:v>LIVE</x:v>
      </x:c>
      <x:c r="I2" s="8" t="n">
        <x:v>10</x:v>
      </x:c>
      <x:c r="J2" s="12" t="str">
        <x:f>IF(OR(A2="",B2="",D2="",AND(E2="",F2=""),G2="",H2=""),"FIX","READY")</x:f>
        <x:v>READY</x:v>
      </x:c>
    </x:row>
    <x:row r="3" ht="31.5" customHeight="1">
      <x:c r="A3" s="8" t="str">
        <x:v>gujarati</x:v>
      </x:c>
      <x:c r="B3" s="8" t="str">
        <x:v>Gujarati</x:v>
      </x:c>
      <x:c r="C3" s="8" t="str">
        <x:v>Sweet, savoury, home-style</x:v>
      </x:c>
      <x:c r="D3" s="8" t="str">
        <x:v>/collections/gujarati-tiffin-service</x:v>
      </x:c>
      <x:c r="E3" s="8" t="str">
        <x:v>cuisine_gujarati</x:v>
      </x:c>
      <x:c r="F3" s="8" t="str"/>
      <x:c r="G3" s="9" t="b">
        <x:v>1</x:v>
      </x:c>
      <x:c r="H3" s="8" t="str">
        <x:v>LIVE</x:v>
      </x:c>
      <x:c r="I3" s="8" t="n">
        <x:v>20</x:v>
      </x:c>
      <x:c r="J3" s="12" t="str">
        <x:f>IF(OR(A3="",B3="",D3="",AND(E3="",F3=""),G3="",H3=""),"FIX","READY")</x:f>
        <x:v>READY</x:v>
      </x:c>
    </x:row>
    <x:row r="4" ht="31.5" customHeight="1">
      <x:c r="A4" s="8" t="str">
        <x:v>swaminarayan</x:v>
      </x:c>
      <x:c r="B4" s="8" t="str">
        <x:v>Swaminarayan</x:v>
      </x:c>
      <x:c r="C4" s="8" t="str">
        <x:v>Comforting and familiar</x:v>
      </x:c>
      <x:c r="D4" s="8" t="str">
        <x:v>/collections/swaminarayan</x:v>
      </x:c>
      <x:c r="E4" s="8" t="str">
        <x:v>cuisine_swaminarayan</x:v>
      </x:c>
      <x:c r="F4" s="8" t="str"/>
      <x:c r="G4" s="9" t="b">
        <x:v>1</x:v>
      </x:c>
      <x:c r="H4" s="8" t="str">
        <x:v>LIVE</x:v>
      </x:c>
      <x:c r="I4" s="8" t="n">
        <x:v>30</x:v>
      </x:c>
      <x:c r="J4" s="12" t="str">
        <x:f>IF(OR(A4="",B4="",D4="",AND(E4="",F4=""),G4="",H4=""),"FIX","READY")</x:f>
        <x:v>READY</x:v>
      </x:c>
    </x:row>
    <x:row r="5" ht="31.5" customHeight="1">
      <x:c r="A5" s="8" t="str">
        <x:v>south_indian</x:v>
      </x:c>
      <x:c r="B5" s="8" t="str">
        <x:v>South Indian</x:v>
      </x:c>
      <x:c r="C5" s="8" t="str">
        <x:v>Bright, warming flavours</x:v>
      </x:c>
      <x:c r="D5" s="8" t="str">
        <x:v>/collections/south-indian</x:v>
      </x:c>
      <x:c r="E5" s="8" t="str">
        <x:v>cuisine_south_indian</x:v>
      </x:c>
      <x:c r="F5" s="8" t="str"/>
      <x:c r="G5" s="9" t="b">
        <x:v>1</x:v>
      </x:c>
      <x:c r="H5" s="8" t="str">
        <x:v>LIVE</x:v>
      </x:c>
      <x:c r="I5" s="8" t="n">
        <x:v>40</x:v>
      </x:c>
      <x:c r="J5" s="12" t="str">
        <x:f>IF(OR(A5="",B5="",D5="",AND(E5="",F5=""),G5="",H5=""),"FIX","READY")</x:f>
        <x:v>READY</x:v>
      </x:c>
    </x:row>
    <x:row r="6" ht="31.5" customHeight="1">
      <x:c r="A6" s="8" t="str">
        <x:v>jain</x:v>
      </x:c>
      <x:c r="B6" s="8" t="str">
        <x:v>Jain</x:v>
      </x:c>
      <x:c r="C6" s="8" t="str">
        <x:v>Mindfully prepared</x:v>
      </x:c>
      <x:c r="D6" s="8" t="str">
        <x:v>/collections/jain</x:v>
      </x:c>
      <x:c r="E6" s="8" t="str">
        <x:v>cuisine_jain</x:v>
      </x:c>
      <x:c r="F6" s="8" t="str"/>
      <x:c r="G6" s="9" t="b">
        <x:v>1</x:v>
      </x:c>
      <x:c r="H6" s="8" t="str">
        <x:v>LIVE</x:v>
      </x:c>
      <x:c r="I6" s="8" t="n">
        <x:v>50</x:v>
      </x:c>
      <x:c r="J6" s="12" t="str">
        <x:f>IF(OR(A6="",B6="",D6="",AND(E6="",F6=""),G6="",H6=""),"FIX","READY")</x:f>
        <x:v>READY</x:v>
      </x:c>
    </x:row>
    <x:row r="7" ht="31.5" customHeight="1">
      <x:c r="A7" s="8" t="str">
        <x:v>nigerian</x:v>
      </x:c>
      <x:c r="B7" s="8" t="str">
        <x:v>Nigerian</x:v>
      </x:c>
      <x:c r="C7" s="8" t="str">
        <x:v>Bold everyday favourites</x:v>
      </x:c>
      <x:c r="D7" s="8" t="str">
        <x:v>/collections/nigerian</x:v>
      </x:c>
      <x:c r="E7" s="8" t="str">
        <x:v>cuisine_nigerian</x:v>
      </x:c>
      <x:c r="F7" s="8" t="str"/>
      <x:c r="G7" s="9" t="b">
        <x:v>1</x:v>
      </x:c>
      <x:c r="H7" s="8" t="str">
        <x:v>LIVE</x:v>
      </x:c>
      <x:c r="I7" s="8" t="n">
        <x:v>60</x:v>
      </x:c>
      <x:c r="J7" s="12" t="str">
        <x:f>IF(OR(A7="",B7="",D7="",AND(E7="",F7=""),G7="",H7=""),"FIX","READY")</x:f>
        <x:v>READY</x:v>
      </x:c>
    </x:row>
    <x:row r="8" ht="31.5" customHeight="1">
      <x:c r="A8" s="8" t="str">
        <x:v>pakistani</x:v>
      </x:c>
      <x:c r="B8" s="8" t="str">
        <x:v>Pakistani</x:v>
      </x:c>
      <x:c r="C8" s="8" t="str">
        <x:v>Deeply comforting classics</x:v>
      </x:c>
      <x:c r="D8" s="8" t="str">
        <x:v>/collections/pakistani</x:v>
      </x:c>
      <x:c r="E8" s="8" t="str">
        <x:v>cuisine_pakistani</x:v>
      </x:c>
      <x:c r="F8" s="8" t="str"/>
      <x:c r="G8" s="9" t="b">
        <x:v>1</x:v>
      </x:c>
      <x:c r="H8" s="8" t="str">
        <x:v>LIVE</x:v>
      </x:c>
      <x:c r="I8" s="8" t="n">
        <x:v>70</x:v>
      </x:c>
      <x:c r="J8" s="12" t="str">
        <x:f>IF(OR(A8="",B8="",D8="",AND(E8="",F8=""),G8="",H8=""),"FIX","READY")</x:f>
        <x:v>READY</x:v>
      </x:c>
    </x:row>
    <x:row r="9" ht="31.5" customHeight="1">
      <x:c r="A9" s="8" t="str">
        <x:v>north_indian</x:v>
      </x:c>
      <x:c r="B9" s="8" t="str">
        <x:v>North Indian</x:v>
      </x:c>
      <x:c r="C9" s="8" t="str">
        <x:v>Classic homestyle meals</x:v>
      </x:c>
      <x:c r="D9" s="8" t="str">
        <x:v>/collections/north-indian</x:v>
      </x:c>
      <x:c r="E9" s="8" t="str">
        <x:v>cuisine_north_indian</x:v>
      </x:c>
      <x:c r="F9" s="8" t="str"/>
      <x:c r="G9" s="9" t="b">
        <x:v>1</x:v>
      </x:c>
      <x:c r="H9" s="8" t="str">
        <x:v>LIVE</x:v>
      </x:c>
      <x:c r="I9" s="8" t="n">
        <x:v>80</x:v>
      </x:c>
      <x:c r="J9" s="12" t="str">
        <x:f>IF(OR(A9="",B9="",D9="",AND(E9="",F9=""),G9="",H9=""),"FIX","READY")</x:f>
        <x:v>READY</x:v>
      </x:c>
    </x:row>
    <x:row r="10" ht="31.5" customHeight="1">
      <x:c r="A10" s="8" t="str">
        <x:v>indo_chinese</x:v>
      </x:c>
      <x:c r="B10" s="8" t="str">
        <x:v>Indo-Chinese</x:v>
      </x:c>
      <x:c r="C10" s="8" t="str">
        <x:v>Street-food inspired</x:v>
      </x:c>
      <x:c r="D10" s="8" t="str">
        <x:v>/collections/indo-chinese</x:v>
      </x:c>
      <x:c r="E10" s="8" t="str">
        <x:v>cuisine_indo_chinese</x:v>
      </x:c>
      <x:c r="F10" s="8" t="str"/>
      <x:c r="G10" s="9" t="b">
        <x:v>1</x:v>
      </x:c>
      <x:c r="H10" s="8" t="str">
        <x:v>LIVE</x:v>
      </x:c>
      <x:c r="I10" s="8" t="n">
        <x:v>90</x:v>
      </x:c>
      <x:c r="J10" s="12" t="str">
        <x:f>IF(OR(A10="",B10="",D10="",AND(E10="",F10=""),G10="",H10=""),"FIX","READY")</x:f>
        <x:v>READY</x:v>
      </x:c>
    </x:row>
  </x:sheetData>
  <x:conditionalFormatting sqref="J2:J10">
    <x:cfRule type="containsText" dxfId="16" priority="1" operator="containsText" text="FIX"/>
    <x:cfRule type="containsText" dxfId="17" priority="2" operator="containsText" text="READY"/>
  </x:conditionalFormatting>
  <x:conditionalFormatting sqref="H2:H10">
    <x:cfRule type="containsText" dxfId="18" priority="3" operator="containsText" text="LIVE"/>
    <x:cfRule type="containsText" dxfId="19" priority="4" operator="containsText" text="DRAFT"/>
  </x:conditionalFormatting>
  <x:dataValidations count="4">
    <x:dataValidation type="list" sqref="E2:E10">
      <x:formula1>Assets!$A$2:$A$200</x:formula1>
    </x:dataValidation>
    <x:dataValidation type="list" sqref="G2:G10">
      <x:formula1>"TRUE,FALSE"</x:formula1>
    </x:dataValidation>
    <x:dataValidation type="list" sqref="H2:H10">
      <x:formula1>"LIVE,DRAFT"</x:formula1>
    </x:dataValidation>
    <x:dataValidation type="whole" operator="between" sqref="I2:I10">
      <x:formula1>0</x:formula1>
      <x:formula2>10000</x:formula2>
    </x:dataValidation>
  </x:dataValidations>
  <x:pageMargins left="0.7" right="0.7" top="0.75" bottom="0.75" header="0.3" footer="0.3"/>
  <x:tableParts count="1">
    <x:tablePart xmlns:r="http://schemas.openxmlformats.org/officeDocument/2006/relationships" r:id="R19151f9177fc4819"/>
  </x:tableParts>
</x:worksheet>
</file>

<file path=xl/worksheets/sheet6.xml><?xml version="1.0" encoding="utf-8"?>
<x:worksheet xmlns:x="http://schemas.openxmlformats.org/spreadsheetml/2006/main">
  <x:sheetPr>
    <x:tabColor rgb="FFDE5200"/>
  </x:sheetPr>
  <x:sheetViews>
    <x:sheetView showGridLines="0" workbookViewId="0">
      <x:pane ySplit="1" topLeftCell="A2" activePane="bottomLeft" state="frozen"/>
    </x:sheetView>
  </x:sheetViews>
  <x:sheetFormatPr defaultRowHeight="15"/>
  <x:cols>
    <x:col min="1" max="1" width="18.329999923706055" hidden="0" customWidth="1"/>
    <x:col min="2" max="2" width="24.440000534057617" hidden="0" customWidth="1"/>
    <x:col min="3" max="3" width="33.33000183105469" hidden="0" customWidth="1"/>
    <x:col min="4" max="4" width="10" hidden="0" customWidth="1"/>
    <x:col min="5" max="5" width="8.890000343322754" hidden="0" customWidth="1"/>
    <x:col min="6" max="6" width="8.890000343322754" hidden="0" customWidth="1"/>
    <x:col min="7" max="7" width="9.4399995803833" hidden="0" customWidth="1"/>
    <x:col min="8" max="8" width="10.5600004196167" hidden="0" customWidth="1"/>
  </x:cols>
  <x:sheetData>
    <x:row r="1" ht="25.5" customHeight="1">
      <x:c r="A1" s="11" t="str">
        <x:v>id</x:v>
      </x:c>
      <x:c r="B1" s="11" t="str">
        <x:v>title</x:v>
      </x:c>
      <x:c r="C1" s="11" t="str">
        <x:v>subtitle</x:v>
      </x:c>
      <x:c r="D1" s="11" t="str">
        <x:v>max_items</x:v>
      </x:c>
      <x:c r="E1" s="11" t="str">
        <x:v>enabled</x:v>
      </x:c>
      <x:c r="F1" s="11" t="str">
        <x:v>status</x:v>
      </x:c>
      <x:c r="G1" s="11" t="str">
        <x:v>sort_order</x:v>
      </x:c>
      <x:c r="H1" s="11" t="str">
        <x:v>row_check</x:v>
      </x:c>
    </x:row>
    <x:row r="2" ht="31.5" customHeight="1">
      <x:c r="A2" s="8" t="str">
        <x:v>best_sellers</x:v>
      </x:c>
      <x:c r="B2" s="8" t="str">
        <x:v>Loved across the GTA</x:v>
      </x:c>
      <x:c r="C2" s="8" t="str">
        <x:v>Popular kitchens to start with</x:v>
      </x:c>
      <x:c r="D2" s="8" t="n">
        <x:v>6</x:v>
      </x:c>
      <x:c r="E2" s="9" t="b">
        <x:v>1</x:v>
      </x:c>
      <x:c r="F2" s="8" t="str">
        <x:v>LIVE</x:v>
      </x:c>
      <x:c r="G2" s="8" t="n">
        <x:v>10</x:v>
      </x:c>
      <x:c r="H2" s="12" t="str">
        <x:f>IF(OR(A2="",B2="",D2="",E2="",F2=""),"FIX","READY")</x:f>
        <x:v>READY</x:v>
      </x:c>
    </x:row>
    <x:row r="3" ht="31.5" customHeight="1">
      <x:c r="A3" s="8" t="str">
        <x:v>quick_starts</x:v>
      </x:c>
      <x:c r="B3" s="8" t="str">
        <x:v>Choose your kind of week</x:v>
      </x:c>
      <x:c r="C3" s="8" t="str">
        <x:v>Current choices and prices open securely on Shopify</x:v>
      </x:c>
      <x:c r="D3" s="8" t="n">
        <x:v>6</x:v>
      </x:c>
      <x:c r="E3" s="9" t="b">
        <x:v>1</x:v>
      </x:c>
      <x:c r="F3" s="8" t="str">
        <x:v>LIVE</x:v>
      </x:c>
      <x:c r="G3" s="8" t="n">
        <x:v>20</x:v>
      </x:c>
      <x:c r="H3" s="12" t="str">
        <x:f>IF(OR(A3="",B3="",D3="",E3="",F3=""),"FIX","READY")</x:f>
        <x:v>READY</x:v>
      </x:c>
    </x:row>
  </x:sheetData>
  <x:conditionalFormatting sqref="H2:H3">
    <x:cfRule type="containsText" dxfId="20" priority="1" operator="containsText" text="FIX"/>
    <x:cfRule type="containsText" dxfId="21" priority="2" operator="containsText" text="READY"/>
  </x:conditionalFormatting>
  <x:conditionalFormatting sqref="F2:F3">
    <x:cfRule type="containsText" dxfId="22" priority="3" operator="containsText" text="LIVE"/>
    <x:cfRule type="containsText" dxfId="23" priority="4" operator="containsText" text="DRAFT"/>
  </x:conditionalFormatting>
  <x:dataValidations count="4">
    <x:dataValidation type="whole" operator="between" sqref="D2:D3">
      <x:formula1>1</x:formula1>
      <x:formula2>20</x:formula2>
    </x:dataValidation>
    <x:dataValidation type="list" sqref="E2:E3">
      <x:formula1>"TRUE,FALSE"</x:formula1>
    </x:dataValidation>
    <x:dataValidation type="list" sqref="F2:F3">
      <x:formula1>"LIVE,DRAFT"</x:formula1>
    </x:dataValidation>
    <x:dataValidation type="whole" operator="between" sqref="G2:G3">
      <x:formula1>0</x:formula1>
      <x:formula2>10000</x:formula2>
    </x:dataValidation>
  </x:dataValidations>
  <x:pageMargins left="0.7" right="0.7" top="0.75" bottom="0.75" header="0.3" footer="0.3"/>
  <x:tableParts count="1">
    <x:tablePart xmlns:r="http://schemas.openxmlformats.org/officeDocument/2006/relationships" r:id="Ra5c15010b7f04305"/>
  </x:tableParts>
</x:worksheet>
</file>

<file path=xl/worksheets/sheet7.xml><?xml version="1.0" encoding="utf-8"?>
<x:worksheet xmlns:x="http://schemas.openxmlformats.org/spreadsheetml/2006/main">
  <x:sheetPr>
    <x:tabColor rgb="FFDE5200"/>
  </x:sheetPr>
  <x:sheetViews>
    <x:sheetView showGridLines="0" workbookViewId="0">
      <x:pane ySplit="1" topLeftCell="A2" activePane="bottomLeft" state="frozen"/>
    </x:sheetView>
  </x:sheetViews>
  <x:sheetFormatPr defaultRowHeight="15"/>
  <x:cols>
    <x:col min="1" max="1" width="18.329999923706055" hidden="0" customWidth="1"/>
    <x:col min="2" max="2" width="16.670000076293945" hidden="0" customWidth="1"/>
    <x:col min="3" max="3" width="24.440000534057617" hidden="0" customWidth="1"/>
    <x:col min="4" max="4" width="28.889999389648438" hidden="0" customWidth="1"/>
    <x:col min="5" max="5" width="13.329999923706055" hidden="0" customWidth="1"/>
    <x:col min="6" max="6" width="13.329999923706055" hidden="0" customWidth="1"/>
    <x:col min="7" max="7" width="32.220001220703125" hidden="0" customWidth="1"/>
    <x:col min="8" max="8" width="20" hidden="0" customWidth="1"/>
    <x:col min="9" max="9" width="31.110000610351562" hidden="0" customWidth="1"/>
    <x:col min="10" max="10" width="14.4399995803833" hidden="0" customWidth="1"/>
    <x:col min="11" max="11" width="11.109999656677246" hidden="0" customWidth="1"/>
    <x:col min="12" max="12" width="26.670000076293945" hidden="0" customWidth="1"/>
    <x:col min="13" max="13" width="8.890000343322754" hidden="0" customWidth="1"/>
    <x:col min="14" max="14" width="8.890000343322754" hidden="0" customWidth="1"/>
    <x:col min="15" max="15" width="9.4399995803833" hidden="0" customWidth="1"/>
    <x:col min="16" max="16" width="10.5600004196167" hidden="0" customWidth="1"/>
  </x:cols>
  <x:sheetData>
    <x:row r="1" ht="25.5" customHeight="1">
      <x:c r="A1" s="11" t="str">
        <x:v>id</x:v>
      </x:c>
      <x:c r="B1" s="11" t="str">
        <x:v>rail_id</x:v>
      </x:c>
      <x:c r="C1" s="11" t="str">
        <x:v>title</x:v>
      </x:c>
      <x:c r="D1" s="11" t="str">
        <x:v>subtitle</x:v>
      </x:c>
      <x:c r="E1" s="11" t="str">
        <x:v>badge</x:v>
      </x:c>
      <x:c r="F1" s="11" t="str">
        <x:v>price_label</x:v>
      </x:c>
      <x:c r="G1" s="11" t="str">
        <x:v>path</x:v>
      </x:c>
      <x:c r="H1" s="11" t="str">
        <x:v>image_asset_id</x:v>
      </x:c>
      <x:c r="I1" s="11" t="str">
        <x:v>image_url_override</x:v>
      </x:c>
      <x:c r="J1" s="11" t="str">
        <x:v>cuisine</x:v>
      </x:c>
      <x:c r="K1" s="11" t="str">
        <x:v>diet</x:v>
      </x:c>
      <x:c r="L1" s="11" t="str">
        <x:v>cities</x:v>
      </x:c>
      <x:c r="M1" s="11" t="str">
        <x:v>enabled</x:v>
      </x:c>
      <x:c r="N1" s="11" t="str">
        <x:v>status</x:v>
      </x:c>
      <x:c r="O1" s="11" t="str">
        <x:v>sort_order</x:v>
      </x:c>
      <x:c r="P1" s="11" t="str">
        <x:v>row_check</x:v>
      </x:c>
    </x:row>
    <x:row r="2" ht="42" customHeight="1">
      <x:c r="A2" s="8" t="str">
        <x:v>indias_flavour</x:v>
      </x:c>
      <x:c r="B2" s="8" t="str">
        <x:v>best_sellers</x:v>
      </x:c>
      <x:c r="C2" s="8" t="str">
        <x:v>India’s Flavour</x:v>
      </x:c>
      <x:c r="D2" s="8" t="str">
        <x:v>Browse current tiffin plans</x:v>
      </x:c>
      <x:c r="E2" s="8" t="str">
        <x:v>Popular</x:v>
      </x:c>
      <x:c r="F2" s="8" t="str">
        <x:v>View plans</x:v>
      </x:c>
      <x:c r="G2" s="8" t="str">
        <x:v>/collections/all?gf_433035=India%27s+Flavour</x:v>
      </x:c>
      <x:c r="H2" s="8" t="str">
        <x:v>seller_indias_flavour</x:v>
      </x:c>
      <x:c r="I2" s="8" t="str"/>
      <x:c r="J2" s="8" t="str">
        <x:v>North Indian</x:v>
      </x:c>
      <x:c r="K2" s="8" t="str">
        <x:v>Mixed</x:v>
      </x:c>
      <x:c r="L2" s="8" t="str">
        <x:v>All areas</x:v>
      </x:c>
      <x:c r="M2" s="9" t="b">
        <x:v>1</x:v>
      </x:c>
      <x:c r="N2" s="8" t="str">
        <x:v>LIVE</x:v>
      </x:c>
      <x:c r="O2" s="8" t="n">
        <x:v>10</x:v>
      </x:c>
      <x:c r="P2" s="12" t="str">
        <x:f>IF(OR(A2="",B2="",C2="",G2="",AND(H2="",I2=""),M2="",N2=""),"FIX","READY")</x:f>
        <x:v>READY</x:v>
      </x:c>
    </x:row>
    <x:row r="3" ht="42" customHeight="1">
      <x:c r="A3" s="8" t="str">
        <x:v>lals_kitchen</x:v>
      </x:c>
      <x:c r="B3" s="8" t="str">
        <x:v>best_sellers</x:v>
      </x:c>
      <x:c r="C3" s="8" t="str">
        <x:v>Lal’s Kitchen</x:v>
      </x:c>
      <x:c r="D3" s="8" t="str">
        <x:v>See this week’s choices</x:v>
      </x:c>
      <x:c r="E3" s="8" t="str">
        <x:v>Local favourite</x:v>
      </x:c>
      <x:c r="F3" s="8" t="str">
        <x:v>View plans</x:v>
      </x:c>
      <x:c r="G3" s="8" t="str">
        <x:v>/collections/lals-kitchen</x:v>
      </x:c>
      <x:c r="H3" s="8" t="str">
        <x:v>seller_lals_kitchen</x:v>
      </x:c>
      <x:c r="I3" s="8" t="str"/>
      <x:c r="J3" s="8" t="str">
        <x:v>Punjabi</x:v>
      </x:c>
      <x:c r="K3" s="8" t="str">
        <x:v>Mixed</x:v>
      </x:c>
      <x:c r="L3" s="8" t="str">
        <x:v>All areas</x:v>
      </x:c>
      <x:c r="M3" s="9" t="b">
        <x:v>1</x:v>
      </x:c>
      <x:c r="N3" s="8" t="str">
        <x:v>LIVE</x:v>
      </x:c>
      <x:c r="O3" s="8" t="n">
        <x:v>20</x:v>
      </x:c>
      <x:c r="P3" s="12" t="str">
        <x:f>IF(OR(A3="",B3="",C3="",G3="",AND(H3="",I3=""),M3="",N3=""),"FIX","READY")</x:f>
        <x:v>READY</x:v>
      </x:c>
    </x:row>
    <x:row r="4" ht="42" customHeight="1">
      <x:c r="A4" s="8" t="str">
        <x:v>krishnas_kitchen</x:v>
      </x:c>
      <x:c r="B4" s="8" t="str">
        <x:v>best_sellers</x:v>
      </x:c>
      <x:c r="C4" s="8" t="str">
        <x:v>Krishna’s Kitchen</x:v>
      </x:c>
      <x:c r="D4" s="8" t="str">
        <x:v>Flexible homestyle meals</x:v>
      </x:c>
      <x:c r="E4" s="8" t="str">
        <x:v>Customer pick</x:v>
      </x:c>
      <x:c r="F4" s="8" t="str">
        <x:v>View plans</x:v>
      </x:c>
      <x:c r="G4" s="8" t="str">
        <x:v>/collections/krishnas-kitchen</x:v>
      </x:c>
      <x:c r="H4" s="8" t="str">
        <x:v>seller_krishnas_kitchen</x:v>
      </x:c>
      <x:c r="I4" s="8" t="str"/>
      <x:c r="J4" s="8" t="str">
        <x:v>Gujarati</x:v>
      </x:c>
      <x:c r="K4" s="8" t="str">
        <x:v>Veg</x:v>
      </x:c>
      <x:c r="L4" s="8" t="str">
        <x:v>All areas</x:v>
      </x:c>
      <x:c r="M4" s="9" t="b">
        <x:v>1</x:v>
      </x:c>
      <x:c r="N4" s="8" t="str">
        <x:v>LIVE</x:v>
      </x:c>
      <x:c r="O4" s="8" t="n">
        <x:v>30</x:v>
      </x:c>
      <x:c r="P4" s="12" t="str">
        <x:f>IF(OR(A4="",B4="",C4="",G4="",AND(H4="",I4=""),M4="",N4=""),"FIX","READY")</x:f>
        <x:v>READY</x:v>
      </x:c>
    </x:row>
    <x:row r="5" ht="42" customHeight="1">
      <x:c r="A5" s="8" t="str">
        <x:v>tiffin_plans</x:v>
      </x:c>
      <x:c r="B5" s="8" t="str">
        <x:v>quick_starts</x:v>
      </x:c>
      <x:c r="C5" s="8" t="str">
        <x:v>Everyday tiffin plans</x:v>
      </x:c>
      <x:c r="D5" s="8" t="str">
        <x:v>Trial, weekly and monthly choices</x:v>
      </x:c>
      <x:c r="E5" s="8" t="str">
        <x:v>Tiffins</x:v>
      </x:c>
      <x:c r="F5" s="8" t="str">
        <x:v>Browse</x:v>
      </x:c>
      <x:c r="G5" s="8" t="str">
        <x:v>/collections/tiffins</x:v>
      </x:c>
      <x:c r="H5" s="8" t="str">
        <x:v>hero_tiffin</x:v>
      </x:c>
      <x:c r="I5" s="8" t="str"/>
      <x:c r="J5" s="8" t="str">
        <x:v>Indian</x:v>
      </x:c>
      <x:c r="K5" s="8" t="str">
        <x:v>Mixed</x:v>
      </x:c>
      <x:c r="L5" s="8" t="str">
        <x:v>All areas</x:v>
      </x:c>
      <x:c r="M5" s="9" t="b">
        <x:v>1</x:v>
      </x:c>
      <x:c r="N5" s="8" t="str">
        <x:v>LIVE</x:v>
      </x:c>
      <x:c r="O5" s="8" t="n">
        <x:v>10</x:v>
      </x:c>
      <x:c r="P5" s="12" t="str">
        <x:f>IF(OR(A5="",B5="",C5="",G5="",AND(H5="",I5=""),M5="",N5=""),"FIX","READY")</x:f>
        <x:v>READY</x:v>
      </x:c>
    </x:row>
    <x:row r="6" ht="42" customHeight="1">
      <x:c r="A6" s="8" t="str">
        <x:v>healthy_meals</x:v>
      </x:c>
      <x:c r="B6" s="8" t="str">
        <x:v>quick_starts</x:v>
      </x:c>
      <x:c r="C6" s="8" t="str">
        <x:v>Healthy meals</x:v>
      </x:c>
      <x:c r="D6" s="8" t="str">
        <x:v>Balanced choices for busy days</x:v>
      </x:c>
      <x:c r="E6" s="8" t="str">
        <x:v>Healthy</x:v>
      </x:c>
      <x:c r="F6" s="8" t="str">
        <x:v>Browse</x:v>
      </x:c>
      <x:c r="G6" s="8" t="str">
        <x:v>/collections/healthy-meals</x:v>
      </x:c>
      <x:c r="H6" s="8" t="str">
        <x:v>hero_healthy</x:v>
      </x:c>
      <x:c r="I6" s="8" t="str"/>
      <x:c r="J6" s="8" t="str">
        <x:v>Indian</x:v>
      </x:c>
      <x:c r="K6" s="8" t="str">
        <x:v>Mixed</x:v>
      </x:c>
      <x:c r="L6" s="8" t="str">
        <x:v>All areas</x:v>
      </x:c>
      <x:c r="M6" s="9" t="b">
        <x:v>1</x:v>
      </x:c>
      <x:c r="N6" s="8" t="str">
        <x:v>LIVE</x:v>
      </x:c>
      <x:c r="O6" s="8" t="n">
        <x:v>20</x:v>
      </x:c>
      <x:c r="P6" s="12" t="str">
        <x:f>IF(OR(A6="",B6="",C6="",G6="",AND(H6="",I6=""),M6="",N6=""),"FIX","READY")</x:f>
        <x:v>READY</x:v>
      </x:c>
    </x:row>
    <x:row r="7" ht="42" customHeight="1">
      <x:c r="A7" s="8" t="str">
        <x:v>rasoi</x:v>
      </x:c>
      <x:c r="B7" s="8" t="str">
        <x:v>quick_starts</x:v>
      </x:c>
      <x:c r="C7" s="8" t="str">
        <x:v>Rasoi Essentials</x:v>
      </x:c>
      <x:c r="D7" s="8" t="str">
        <x:v>Snacks, sweets and pantry picks</x:v>
      </x:c>
      <x:c r="E7" s="8" t="str">
        <x:v>Extras</x:v>
      </x:c>
      <x:c r="F7" s="8" t="str">
        <x:v>Shop</x:v>
      </x:c>
      <x:c r="G7" s="8" t="str">
        <x:v>/pages/rasoi-essentials</x:v>
      </x:c>
      <x:c r="H7" s="8" t="str">
        <x:v>hero_rasoi</x:v>
      </x:c>
      <x:c r="I7" s="8" t="str"/>
      <x:c r="J7" s="8" t="str">
        <x:v>Indian</x:v>
      </x:c>
      <x:c r="K7" s="8" t="str">
        <x:v>Mixed</x:v>
      </x:c>
      <x:c r="L7" s="8" t="str">
        <x:v>All areas</x:v>
      </x:c>
      <x:c r="M7" s="9" t="b">
        <x:v>1</x:v>
      </x:c>
      <x:c r="N7" s="8" t="str">
        <x:v>LIVE</x:v>
      </x:c>
      <x:c r="O7" s="8" t="n">
        <x:v>30</x:v>
      </x:c>
      <x:c r="P7" s="12" t="str">
        <x:f>IF(OR(A7="",B7="",C7="",G7="",AND(H7="",I7=""),M7="",N7=""),"FIX","READY")</x:f>
        <x:v>READY</x:v>
      </x:c>
    </x:row>
  </x:sheetData>
  <x:conditionalFormatting sqref="P2:P7">
    <x:cfRule type="containsText" dxfId="24" priority="1" operator="containsText" text="FIX"/>
    <x:cfRule type="containsText" dxfId="25" priority="2" operator="containsText" text="READY"/>
  </x:conditionalFormatting>
  <x:conditionalFormatting sqref="N2:N7">
    <x:cfRule type="containsText" dxfId="26" priority="3" operator="containsText" text="LIVE"/>
    <x:cfRule type="containsText" dxfId="27" priority="4" operator="containsText" text="DRAFT"/>
  </x:conditionalFormatting>
  <x:dataValidations count="6">
    <x:dataValidation type="list" sqref="B2:B7">
      <x:formula1>Product_Rails!$A$2:$A$100</x:formula1>
    </x:dataValidation>
    <x:dataValidation type="list" sqref="H2:H7">
      <x:formula1>Assets!$A$2:$A$200</x:formula1>
    </x:dataValidation>
    <x:dataValidation type="list" sqref="K2:K7">
      <x:formula1>"Veg,Mixed,Jain,Vegan"</x:formula1>
    </x:dataValidation>
    <x:dataValidation type="list" sqref="M2:M7">
      <x:formula1>"TRUE,FALSE"</x:formula1>
    </x:dataValidation>
    <x:dataValidation type="list" sqref="N2:N7">
      <x:formula1>"LIVE,DRAFT"</x:formula1>
    </x:dataValidation>
    <x:dataValidation type="whole" operator="between" sqref="O2:O7">
      <x:formula1>0</x:formula1>
      <x:formula2>10000</x:formula2>
    </x:dataValidation>
  </x:dataValidations>
  <x:pageMargins left="0.7" right="0.7" top="0.75" bottom="0.75" header="0.3" footer="0.3"/>
  <x:tableParts count="1">
    <x:tablePart xmlns:r="http://schemas.openxmlformats.org/officeDocument/2006/relationships" r:id="R04a47e969f88466f"/>
  </x:tableParts>
</x:worksheet>
</file>

<file path=xl/worksheets/sheet8.xml><?xml version="1.0" encoding="utf-8"?>
<x:worksheet xmlns:x="http://schemas.openxmlformats.org/spreadsheetml/2006/main">
  <x:sheetPr>
    <x:tabColor rgb="FFDE5200"/>
  </x:sheetPr>
  <x:sheetViews>
    <x:sheetView showGridLines="0" workbookViewId="0">
      <x:pane ySplit="1" topLeftCell="A2" activePane="bottomLeft" state="frozen"/>
    </x:sheetView>
  </x:sheetViews>
  <x:sheetFormatPr defaultRowHeight="15"/>
  <x:cols>
    <x:col min="1" max="1" width="17.219999313354492" hidden="0" customWidth="1"/>
    <x:col min="2" max="2" width="20" hidden="0" customWidth="1"/>
    <x:col min="3" max="3" width="31.110000610351562" hidden="0" customWidth="1"/>
    <x:col min="4" max="4" width="20" hidden="0" customWidth="1"/>
    <x:col min="5" max="5" width="30" hidden="0" customWidth="1"/>
    <x:col min="6" max="6" width="8.890000343322754" hidden="0" customWidth="1"/>
    <x:col min="7" max="7" width="8.890000343322754" hidden="0" customWidth="1"/>
    <x:col min="8" max="8" width="9.4399995803833" hidden="0" customWidth="1"/>
    <x:col min="9" max="9" width="10.5600004196167" hidden="0" customWidth="1"/>
  </x:cols>
  <x:sheetData>
    <x:row r="1" ht="25.5" customHeight="1">
      <x:c r="A1" s="11" t="str">
        <x:v>id</x:v>
      </x:c>
      <x:c r="B1" s="11" t="str">
        <x:v>title</x:v>
      </x:c>
      <x:c r="C1" s="11" t="str">
        <x:v>subtitle</x:v>
      </x:c>
      <x:c r="D1" s="11" t="str">
        <x:v>icon</x:v>
      </x:c>
      <x:c r="E1" s="11" t="str">
        <x:v>path</x:v>
      </x:c>
      <x:c r="F1" s="11" t="str">
        <x:v>enabled</x:v>
      </x:c>
      <x:c r="G1" s="11" t="str">
        <x:v>status</x:v>
      </x:c>
      <x:c r="H1" s="11" t="str">
        <x:v>sort_order</x:v>
      </x:c>
      <x:c r="I1" s="11" t="str">
        <x:v>row_check</x:v>
      </x:c>
    </x:row>
    <x:row r="2" ht="31.5" customHeight="1">
      <x:c r="A2" s="8" t="str">
        <x:v>all_tiffins</x:v>
      </x:c>
      <x:c r="B2" s="8" t="str">
        <x:v>All tiffins</x:v>
      </x:c>
      <x:c r="C2" s="8" t="str">
        <x:v>Explore every available meal plan</x:v>
      </x:c>
      <x:c r="D2" s="8" t="str">
        <x:v>restaurant-outline</x:v>
      </x:c>
      <x:c r="E2" s="8" t="str">
        <x:v>/collections/tiffins</x:v>
      </x:c>
      <x:c r="F2" s="9" t="b">
        <x:v>1</x:v>
      </x:c>
      <x:c r="G2" s="8" t="str">
        <x:v>LIVE</x:v>
      </x:c>
      <x:c r="H2" s="8" t="n">
        <x:v>10</x:v>
      </x:c>
      <x:c r="I2" s="12" t="str">
        <x:f>IF(OR(A2="",B2="",D2="",E2="",F2="",G2=""),"FIX","READY")</x:f>
        <x:v>READY</x:v>
      </x:c>
    </x:row>
    <x:row r="3" ht="31.5" customHeight="1">
      <x:c r="A3" s="8" t="str">
        <x:v>healthy</x:v>
      </x:c>
      <x:c r="B3" s="8" t="str">
        <x:v>Healthy meals</x:v>
      </x:c>
      <x:c r="C3" s="8" t="str">
        <x:v>Find balanced everyday choices</x:v>
      </x:c>
      <x:c r="D3" s="8" t="str">
        <x:v>leaf-outline</x:v>
      </x:c>
      <x:c r="E3" s="8" t="str">
        <x:v>/collections/healthy-meals</x:v>
      </x:c>
      <x:c r="F3" s="9" t="b">
        <x:v>1</x:v>
      </x:c>
      <x:c r="G3" s="8" t="str">
        <x:v>LIVE</x:v>
      </x:c>
      <x:c r="H3" s="8" t="n">
        <x:v>20</x:v>
      </x:c>
      <x:c r="I3" s="12" t="str">
        <x:f>IF(OR(A3="",B3="",D3="",E3="",F3="",G3=""),"FIX","READY")</x:f>
        <x:v>READY</x:v>
      </x:c>
    </x:row>
    <x:row r="4" ht="31.5" customHeight="1">
      <x:c r="A4" s="8" t="str">
        <x:v>taste_drive</x:v>
      </x:c>
      <x:c r="B4" s="8" t="str">
        <x:v>Taste Drive</x:v>
      </x:c>
      <x:c r="C4" s="8" t="str">
        <x:v>Try different kitchens before settling in</x:v>
      </x:c>
      <x:c r="D4" s="8" t="str">
        <x:v>sparkles-outline</x:v>
      </x:c>
      <x:c r="E4" s="8" t="str">
        <x:v>/collections/taste-drive</x:v>
      </x:c>
      <x:c r="F4" s="9" t="b">
        <x:v>1</x:v>
      </x:c>
      <x:c r="G4" s="8" t="str">
        <x:v>LIVE</x:v>
      </x:c>
      <x:c r="H4" s="8" t="n">
        <x:v>30</x:v>
      </x:c>
      <x:c r="I4" s="12" t="str">
        <x:f>IF(OR(A4="",B4="",D4="",E4="",F4="",G4=""),"FIX","READY")</x:f>
        <x:v>READY</x:v>
      </x:c>
    </x:row>
    <x:row r="5" ht="31.5" customHeight="1">
      <x:c r="A5" s="8" t="str">
        <x:v>rasoi</x:v>
      </x:c>
      <x:c r="B5" s="8" t="str">
        <x:v>Rasoi Essentials</x:v>
      </x:c>
      <x:c r="C5" s="8" t="str">
        <x:v>Shop snacks, sweets and add-ons</x:v>
      </x:c>
      <x:c r="D5" s="8" t="str">
        <x:v>basket-outline</x:v>
      </x:c>
      <x:c r="E5" s="8" t="str">
        <x:v>/pages/rasoi-essentials</x:v>
      </x:c>
      <x:c r="F5" s="9" t="b">
        <x:v>1</x:v>
      </x:c>
      <x:c r="G5" s="8" t="str">
        <x:v>LIVE</x:v>
      </x:c>
      <x:c r="H5" s="8" t="n">
        <x:v>40</x:v>
      </x:c>
      <x:c r="I5" s="12" t="str">
        <x:f>IF(OR(A5="",B5="",D5="",E5="",F5="",G5=""),"FIX","READY")</x:f>
        <x:v>READY</x:v>
      </x:c>
    </x:row>
  </x:sheetData>
  <x:conditionalFormatting sqref="I2:I5">
    <x:cfRule type="containsText" dxfId="28" priority="1" operator="containsText" text="FIX"/>
    <x:cfRule type="containsText" dxfId="29" priority="2" operator="containsText" text="READY"/>
  </x:conditionalFormatting>
  <x:conditionalFormatting sqref="G2:G5">
    <x:cfRule type="containsText" dxfId="30" priority="3" operator="containsText" text="LIVE"/>
    <x:cfRule type="containsText" dxfId="31" priority="4" operator="containsText" text="DRAFT"/>
  </x:conditionalFormatting>
  <x:dataValidations count="3">
    <x:dataValidation type="list" sqref="F2:F5">
      <x:formula1>"TRUE,FALSE"</x:formula1>
    </x:dataValidation>
    <x:dataValidation type="list" sqref="G2:G5">
      <x:formula1>"LIVE,DRAFT"</x:formula1>
    </x:dataValidation>
    <x:dataValidation type="whole" operator="between" sqref="H2:H5">
      <x:formula1>0</x:formula1>
      <x:formula2>10000</x:formula2>
    </x:dataValidation>
  </x:dataValidations>
  <x:pageMargins left="0.7" right="0.7" top="0.75" bottom="0.75" header="0.3" footer="0.3"/>
  <x:tableParts count="1">
    <x:tablePart xmlns:r="http://schemas.openxmlformats.org/officeDocument/2006/relationships" r:id="Ref983698a4e74ef5"/>
  </x:tableParts>
</x:worksheet>
</file>

<file path=xl/worksheets/sheet9.xml><?xml version="1.0" encoding="utf-8"?>
<x:worksheet xmlns:x="http://schemas.openxmlformats.org/spreadsheetml/2006/main">
  <x:sheetPr>
    <x:tabColor rgb="FFDE5200"/>
  </x:sheetPr>
  <x:sheetViews>
    <x:sheetView showGridLines="0" workbookViewId="0">
      <x:pane ySplit="1" topLeftCell="A2" activePane="bottomLeft" state="frozen"/>
    </x:sheetView>
  </x:sheetViews>
  <x:sheetFormatPr defaultRowHeight="15"/>
  <x:cols>
    <x:col min="1" max="1" width="16.110000610351562" hidden="0" customWidth="1"/>
    <x:col min="2" max="2" width="16.670000076293945" hidden="0" customWidth="1"/>
    <x:col min="3" max="3" width="27.780000686645508" hidden="0" customWidth="1"/>
    <x:col min="4" max="4" width="34.439998626708984" hidden="0" customWidth="1"/>
    <x:col min="5" max="5" width="18.329999923706055" hidden="0" customWidth="1"/>
    <x:col min="6" max="6" width="8.890000343322754" hidden="0" customWidth="1"/>
    <x:col min="7" max="7" width="8.890000343322754" hidden="0" customWidth="1"/>
    <x:col min="8" max="8" width="9.4399995803833" hidden="0" customWidth="1"/>
    <x:col min="9" max="9" width="10.5600004196167" hidden="0" customWidth="1"/>
  </x:cols>
  <x:sheetData>
    <x:row r="1" ht="25.5" customHeight="1">
      <x:c r="A1" s="11" t="str">
        <x:v>id</x:v>
      </x:c>
      <x:c r="B1" s="11" t="str">
        <x:v>type</x:v>
      </x:c>
      <x:c r="C1" s="11" t="str">
        <x:v>title</x:v>
      </x:c>
      <x:c r="D1" s="11" t="str">
        <x:v>subtitle</x:v>
      </x:c>
      <x:c r="E1" s="11" t="str">
        <x:v>reference_id</x:v>
      </x:c>
      <x:c r="F1" s="11" t="str">
        <x:v>enabled</x:v>
      </x:c>
      <x:c r="G1" s="11" t="str">
        <x:v>status</x:v>
      </x:c>
      <x:c r="H1" s="11" t="str">
        <x:v>sort_order</x:v>
      </x:c>
      <x:c r="I1" s="11" t="str">
        <x:v>row_check</x:v>
      </x:c>
    </x:row>
    <x:row r="2" ht="31.5" customHeight="1">
      <x:c r="A2" s="8" t="str">
        <x:v>hero</x:v>
      </x:c>
      <x:c r="B2" s="8" t="str">
        <x:v>banners</x:v>
      </x:c>
      <x:c r="C2" s="8" t="str"/>
      <x:c r="D2" s="8" t="str"/>
      <x:c r="E2" s="8" t="str"/>
      <x:c r="F2" s="9" t="b">
        <x:v>1</x:v>
      </x:c>
      <x:c r="G2" s="8" t="str">
        <x:v>LIVE</x:v>
      </x:c>
      <x:c r="H2" s="8" t="n">
        <x:v>10</x:v>
      </x:c>
      <x:c r="I2" s="12" t="str">
        <x:f>IF(OR(A2="",B2="",F2="",G2=""),"FIX","READY")</x:f>
        <x:v>READY</x:v>
      </x:c>
    </x:row>
    <x:row r="3" ht="31.5" customHeight="1">
      <x:c r="A3" s="8" t="str">
        <x:v>cuisines</x:v>
      </x:c>
      <x:c r="B3" s="8" t="str">
        <x:v>collections</x:v>
      </x:c>
      <x:c r="C3" s="8" t="str">
        <x:v>What feels like home?</x:v>
      </x:c>
      <x:c r="D3" s="8" t="str">
        <x:v>Browse by cuisine</x:v>
      </x:c>
      <x:c r="E3" s="8" t="str"/>
      <x:c r="F3" s="9" t="b">
        <x:v>1</x:v>
      </x:c>
      <x:c r="G3" s="8" t="str">
        <x:v>LIVE</x:v>
      </x:c>
      <x:c r="H3" s="8" t="n">
        <x:v>20</x:v>
      </x:c>
      <x:c r="I3" s="12" t="str">
        <x:f>IF(OR(A3="",B3="",F3="",G3=""),"FIX","READY")</x:f>
        <x:v>READY</x:v>
      </x:c>
    </x:row>
    <x:row r="4" ht="31.5" customHeight="1">
      <x:c r="A4" s="8" t="str">
        <x:v>best_sellers</x:v>
      </x:c>
      <x:c r="B4" s="8" t="str">
        <x:v>product_rail</x:v>
      </x:c>
      <x:c r="C4" s="8" t="str"/>
      <x:c r="D4" s="8" t="str"/>
      <x:c r="E4" s="8" t="str">
        <x:v>best_sellers</x:v>
      </x:c>
      <x:c r="F4" s="9" t="b">
        <x:v>1</x:v>
      </x:c>
      <x:c r="G4" s="8" t="str">
        <x:v>LIVE</x:v>
      </x:c>
      <x:c r="H4" s="8" t="n">
        <x:v>30</x:v>
      </x:c>
      <x:c r="I4" s="12" t="str">
        <x:f>IF(OR(A4="",B4="",F4="",G4=""),"FIX","READY")</x:f>
        <x:v>READY</x:v>
      </x:c>
    </x:row>
    <x:row r="5" ht="31.5" customHeight="1">
      <x:c r="A5" s="8" t="str">
        <x:v>quick_links</x:v>
      </x:c>
      <x:c r="B5" s="8" t="str">
        <x:v>quick_links</x:v>
      </x:c>
      <x:c r="C5" s="8" t="str">
        <x:v>Start exploring</x:v>
      </x:c>
      <x:c r="D5" s="8" t="str">
        <x:v>Shortcuts to the full Shopify catalogue</x:v>
      </x:c>
      <x:c r="E5" s="8" t="str"/>
      <x:c r="F5" s="9" t="b">
        <x:v>1</x:v>
      </x:c>
      <x:c r="G5" s="8" t="str">
        <x:v>LIVE</x:v>
      </x:c>
      <x:c r="H5" s="8" t="n">
        <x:v>40</x:v>
      </x:c>
      <x:c r="I5" s="12" t="str">
        <x:f>IF(OR(A5="",B5="",F5="",G5=""),"FIX","READY")</x:f>
        <x:v>READY</x:v>
      </x:c>
    </x:row>
    <x:row r="6" ht="31.5" customHeight="1">
      <x:c r="A6" s="8" t="str">
        <x:v>support</x:v>
      </x:c>
      <x:c r="B6" s="8" t="str">
        <x:v>message</x:v>
      </x:c>
      <x:c r="C6" s="8" t="str">
        <x:v>A real team, when you need us.</x:v>
      </x:c>
      <x:c r="D6" s="8" t="str">
        <x:v>Questions about plans, orders or delivery? We’re here to help.</x:v>
      </x:c>
      <x:c r="E6" s="8" t="str">
        <x:v>general_support</x:v>
      </x:c>
      <x:c r="F6" s="9" t="b">
        <x:v>1</x:v>
      </x:c>
      <x:c r="G6" s="8" t="str">
        <x:v>LIVE</x:v>
      </x:c>
      <x:c r="H6" s="8" t="n">
        <x:v>50</x:v>
      </x:c>
      <x:c r="I6" s="12" t="str">
        <x:f>IF(OR(A6="",B6="",F6="",G6=""),"FIX","READY")</x:f>
        <x:v>READY</x:v>
      </x:c>
    </x:row>
  </x:sheetData>
  <x:conditionalFormatting sqref="I2:I6">
    <x:cfRule type="containsText" dxfId="32" priority="1" operator="containsText" text="FIX"/>
    <x:cfRule type="containsText" dxfId="33" priority="2" operator="containsText" text="READY"/>
  </x:conditionalFormatting>
  <x:conditionalFormatting sqref="G2:G6">
    <x:cfRule type="containsText" dxfId="34" priority="3" operator="containsText" text="LIVE"/>
    <x:cfRule type="containsText" dxfId="35" priority="4" operator="containsText" text="DRAFT"/>
  </x:conditionalFormatting>
  <x:dataValidations count="4">
    <x:dataValidation type="list" sqref="B2:B6">
      <x:formula1>"banners,collections,product_rail,quick_links,message"</x:formula1>
    </x:dataValidation>
    <x:dataValidation type="list" sqref="F2:F6">
      <x:formula1>"TRUE,FALSE"</x:formula1>
    </x:dataValidation>
    <x:dataValidation type="list" sqref="G2:G6">
      <x:formula1>"LIVE,DRAFT"</x:formula1>
    </x:dataValidation>
    <x:dataValidation type="whole" operator="between" sqref="H2:H6">
      <x:formula1>0</x:formula1>
      <x:formula2>10000</x:formula2>
    </x:dataValidation>
  </x:dataValidations>
  <x:pageMargins left="0.7" right="0.7" top="0.75" bottom="0.75" header="0.3" footer="0.3"/>
  <x:tableParts count="1">
    <x:tablePart xmlns:r="http://schemas.openxmlformats.org/officeDocument/2006/relationships" r:id="R9e11687e33ec422b"/>
  </x:tableParts>
</x:worksheet>
</file>

<file path=xl/worksheets/sheet10.xml><?xml version="1.0" encoding="utf-8"?>
<x:worksheet xmlns:x="http://schemas.openxmlformats.org/spreadsheetml/2006/main">
  <x:sheetPr>
    <x:tabColor rgb="FFDE5200"/>
  </x:sheetPr>
  <x:sheetViews>
    <x:sheetView showGridLines="0" workbookViewId="0">
      <x:pane ySplit="1" topLeftCell="A2" activePane="bottomLeft" state="frozen"/>
    </x:sheetView>
  </x:sheetViews>
  <x:sheetFormatPr defaultRowHeight="15"/>
  <x:cols>
    <x:col min="1" max="1" width="24.440000534057617" hidden="0" customWidth="1"/>
    <x:col min="2" max="2" width="57.779998779296875" hidden="0" customWidth="1"/>
    <x:col min="3" max="3" width="8.890000343322754" hidden="0" customWidth="1"/>
    <x:col min="4" max="4" width="31.110000610351562" hidden="0" customWidth="1"/>
    <x:col min="5" max="5" width="10.5600004196167" hidden="0" customWidth="1"/>
  </x:cols>
  <x:sheetData>
    <x:row r="1" ht="25.5" customHeight="1">
      <x:c r="A1" s="11" t="str">
        <x:v>key</x:v>
      </x:c>
      <x:c r="B1" s="11" t="str">
        <x:v>value</x:v>
      </x:c>
      <x:c r="C1" s="11" t="str">
        <x:v>status</x:v>
      </x:c>
      <x:c r="D1" s="11" t="str">
        <x:v>notes</x:v>
      </x:c>
      <x:c r="E1" s="11" t="str">
        <x:v>row_check</x:v>
      </x:c>
    </x:row>
    <x:row r="2" ht="43.5" customHeight="1">
      <x:c r="A2" s="8" t="str">
        <x:v>browse_eyebrow</x:v>
      </x:c>
      <x:c r="B2" s="8" t="str">
        <x:v>FIND YOUR FLAVOUR</x:v>
      </x:c>
      <x:c r="C2" s="8" t="str">
        <x:v>LIVE</x:v>
      </x:c>
      <x:c r="D2" s="8" t="str">
        <x:v>App-owned copy. Keep wording concise and accurate.</x:v>
      </x:c>
      <x:c r="E2" s="12" t="str">
        <x:f>IF(OR(A2="",B2="",C2=""),"FIX","READY")</x:f>
        <x:v>READY</x:v>
      </x:c>
    </x:row>
    <x:row r="3" ht="43.5" customHeight="1">
      <x:c r="A3" s="8" t="str">
        <x:v>browse_title</x:v>
      </x:c>
      <x:c r="B3" s="8" t="str">
        <x:v>What are you craving?</x:v>
      </x:c>
      <x:c r="C3" s="8" t="str">
        <x:v>LIVE</x:v>
      </x:c>
      <x:c r="D3" s="8" t="str">
        <x:v>App-owned copy. Keep wording concise and accurate.</x:v>
      </x:c>
      <x:c r="E3" s="12" t="str">
        <x:f>IF(OR(A3="",B3="",C3=""),"FIX","READY")</x:f>
        <x:v>READY</x:v>
      </x:c>
    </x:row>
    <x:row r="4" ht="43.5" customHeight="1">
      <x:c r="A4" s="8" t="str">
        <x:v>browse_body</x:v>
      </x:c>
      <x:c r="B4" s="8" t="str">
        <x:v>Search the featured picks, then continue on Shopify for current plans, availability and delivery choices.</x:v>
      </x:c>
      <x:c r="C4" s="8" t="str">
        <x:v>LIVE</x:v>
      </x:c>
      <x:c r="D4" s="8" t="str">
        <x:v>App-owned copy. Keep wording concise and accurate.</x:v>
      </x:c>
      <x:c r="E4" s="12" t="str">
        <x:f>IF(OR(A4="",B4="",C4=""),"FIX","READY")</x:f>
        <x:v>READY</x:v>
      </x:c>
    </x:row>
    <x:row r="5" ht="43.5" customHeight="1">
      <x:c r="A5" s="8" t="str">
        <x:v>browse_search_placeholder</x:v>
      </x:c>
      <x:c r="B5" s="8" t="str">
        <x:v>Search kitchens, cuisines or meals…</x:v>
      </x:c>
      <x:c r="C5" s="8" t="str">
        <x:v>LIVE</x:v>
      </x:c>
      <x:c r="D5" s="8" t="str">
        <x:v>App-owned copy. Keep wording concise and accurate.</x:v>
      </x:c>
      <x:c r="E5" s="12" t="str">
        <x:f>IF(OR(A5="",B5="",C5=""),"FIX","READY")</x:f>
        <x:v>READY</x:v>
      </x:c>
    </x:row>
    <x:row r="6" ht="43.5" customHeight="1">
      <x:c r="A6" s="8" t="str">
        <x:v>browse_empty_title</x:v>
      </x:c>
      <x:c r="B6" s="8" t="str">
        <x:v>Nothing in this shortlist yet.</x:v>
      </x:c>
      <x:c r="C6" s="8" t="str">
        <x:v>LIVE</x:v>
      </x:c>
      <x:c r="D6" s="8" t="str">
        <x:v>App-owned copy. Keep wording concise and accurate.</x:v>
      </x:c>
      <x:c r="E6" s="12" t="str">
        <x:f>IF(OR(A6="",B6="",C6=""),"FIX","READY")</x:f>
        <x:v>READY</x:v>
      </x:c>
    </x:row>
    <x:row r="7" ht="43.5" customHeight="1">
      <x:c r="A7" s="8" t="str">
        <x:v>browse_empty_body</x:v>
      </x:c>
      <x:c r="B7" s="8" t="str">
        <x:v>Try a different search or open the full Shopify catalogue.</x:v>
      </x:c>
      <x:c r="C7" s="8" t="str">
        <x:v>LIVE</x:v>
      </x:c>
      <x:c r="D7" s="8" t="str">
        <x:v>App-owned copy. Keep wording concise and accurate.</x:v>
      </x:c>
      <x:c r="E7" s="12" t="str">
        <x:f>IF(OR(A7="",B7="",C7=""),"FIX","READY")</x:f>
        <x:v>READY</x:v>
      </x:c>
    </x:row>
    <x:row r="8" ht="43.5" customHeight="1">
      <x:c r="A8" s="8" t="str">
        <x:v>plan_eyebrow</x:v>
      </x:c>
      <x:c r="B8" s="8" t="str">
        <x:v>A LITTLE LESS MEAL ADMIN</x:v>
      </x:c>
      <x:c r="C8" s="8" t="str">
        <x:v>LIVE</x:v>
      </x:c>
      <x:c r="D8" s="8" t="str">
        <x:v>App-owned copy. Keep wording concise and accurate.</x:v>
      </x:c>
      <x:c r="E8" s="12" t="str">
        <x:f>IF(OR(A8="",B8="",C8=""),"FIX","READY")</x:f>
        <x:v>READY</x:v>
      </x:c>
    </x:row>
    <x:row r="9" ht="43.5" customHeight="1">
      <x:c r="A9" s="8" t="str">
        <x:v>plan_title</x:v>
      </x:c>
      <x:c r="B9" s="8" t="str">
        <x:v>Your week, made easier.</x:v>
      </x:c>
      <x:c r="C9" s="8" t="str">
        <x:v>LIVE</x:v>
      </x:c>
      <x:c r="D9" s="8" t="str">
        <x:v>App-owned copy. Keep wording concise and accurate.</x:v>
      </x:c>
      <x:c r="E9" s="12" t="str">
        <x:f>IF(OR(A9="",B9="",C9=""),"FIX","READY")</x:f>
        <x:v>READY</x:v>
      </x:c>
    </x:row>
    <x:row r="10" ht="43.5" customHeight="1">
      <x:c r="A10" s="8" t="str">
        <x:v>plan_body</x:v>
      </x:c>
      <x:c r="B10" s="8" t="str">
        <x:v>View orders securely in your Shopify account. For a skip, pause or delivery change, send the team a request.</x:v>
      </x:c>
      <x:c r="C10" s="8" t="str">
        <x:v>LIVE</x:v>
      </x:c>
      <x:c r="D10" s="8" t="str">
        <x:v>App-owned copy. Keep wording concise and accurate.</x:v>
      </x:c>
      <x:c r="E10" s="12" t="str">
        <x:f>IF(OR(A10="",B10="",C10=""),"FIX","READY")</x:f>
        <x:v>READY</x:v>
      </x:c>
    </x:row>
    <x:row r="11" ht="43.5" customHeight="1">
      <x:c r="A11" s="8" t="str">
        <x:v>plan_primary_cta</x:v>
      </x:c>
      <x:c r="B11" s="8" t="str">
        <x:v>Open my Shopify account</x:v>
      </x:c>
      <x:c r="C11" s="8" t="str">
        <x:v>LIVE</x:v>
      </x:c>
      <x:c r="D11" s="8" t="str">
        <x:v>App-owned copy. Keep wording concise and accurate.</x:v>
      </x:c>
      <x:c r="E11" s="12" t="str">
        <x:f>IF(OR(A11="",B11="",C11=""),"FIX","READY")</x:f>
        <x:v>READY</x:v>
      </x:c>
    </x:row>
    <x:row r="12" ht="43.5" customHeight="1">
      <x:c r="A12" s="8" t="str">
        <x:v>plan_secondary_cta</x:v>
      </x:c>
      <x:c r="B12" s="8" t="str">
        <x:v>Request a plan change</x:v>
      </x:c>
      <x:c r="C12" s="8" t="str">
        <x:v>LIVE</x:v>
      </x:c>
      <x:c r="D12" s="8" t="str">
        <x:v>App-owned copy. Keep wording concise and accurate.</x:v>
      </x:c>
      <x:c r="E12" s="12" t="str">
        <x:f>IF(OR(A12="",B12="",C12=""),"FIX","READY")</x:f>
        <x:v>READY</x:v>
      </x:c>
    </x:row>
    <x:row r="13" ht="43.5" customHeight="1">
      <x:c r="A13" s="8" t="str">
        <x:v>plan_disclaimer</x:v>
      </x:c>
      <x:c r="B13" s="8" t="str">
        <x:v>Requests are not automatic. Your existing schedule stays unchanged until TiffinStash confirms it.</x:v>
      </x:c>
      <x:c r="C13" s="8" t="str">
        <x:v>LIVE</x:v>
      </x:c>
      <x:c r="D13" s="8" t="str">
        <x:v>App-owned copy. Keep wording concise and accurate.</x:v>
      </x:c>
      <x:c r="E13" s="12" t="str">
        <x:f>IF(OR(A13="",B13="",C13=""),"FIX","READY")</x:f>
        <x:v>READY</x:v>
      </x:c>
    </x:row>
    <x:row r="14" ht="43.5" customHeight="1">
      <x:c r="A14" s="8" t="str">
        <x:v>orders_eyebrow</x:v>
      </x:c>
      <x:c r="B14" s="8" t="str">
        <x:v>YOUR TIFFINSTASH ORDERS</x:v>
      </x:c>
      <x:c r="C14" s="8" t="str">
        <x:v>LIVE</x:v>
      </x:c>
      <x:c r="D14" s="8" t="str">
        <x:v>App-owned copy. Keep wording concise and accurate.</x:v>
      </x:c>
      <x:c r="E14" s="12" t="str">
        <x:f>IF(OR(A14="",B14="",C14=""),"FIX","READY")</x:f>
        <x:v>READY</x:v>
      </x:c>
    </x:row>
    <x:row r="15" ht="43.5" customHeight="1">
      <x:c r="A15" s="8" t="str">
        <x:v>orders_title</x:v>
      </x:c>
      <x:c r="B15" s="8" t="str">
        <x:v>Everything you ordered, in one secure place.</x:v>
      </x:c>
      <x:c r="C15" s="8" t="str">
        <x:v>LIVE</x:v>
      </x:c>
      <x:c r="D15" s="8" t="str">
        <x:v>App-owned copy. Keep wording concise and accurate.</x:v>
      </x:c>
      <x:c r="E15" s="12" t="str">
        <x:f>IF(OR(A15="",B15="",C15=""),"FIX","READY")</x:f>
        <x:v>READY</x:v>
      </x:c>
    </x:row>
    <x:row r="16" ht="43.5" customHeight="1">
      <x:c r="A16" s="8" t="str">
        <x:v>orders_body</x:v>
      </x:c>
      <x:c r="B16" s="8" t="str">
        <x:v>Sign in through Shopify to see orders connected to your account. Login and payment details remain on Shopify pages.</x:v>
      </x:c>
      <x:c r="C16" s="8" t="str">
        <x:v>LIVE</x:v>
      </x:c>
      <x:c r="D16" s="8" t="str">
        <x:v>App-owned copy. Keep wording concise and accurate.</x:v>
      </x:c>
      <x:c r="E16" s="12" t="str">
        <x:f>IF(OR(A16="",B16="",C16=""),"FIX","READY")</x:f>
        <x:v>READY</x:v>
      </x:c>
    </x:row>
    <x:row r="17" ht="43.5" customHeight="1">
      <x:c r="A17" s="8" t="str">
        <x:v>orders_cta</x:v>
      </x:c>
      <x:c r="B17" s="8" t="str">
        <x:v>View my orders</x:v>
      </x:c>
      <x:c r="C17" s="8" t="str">
        <x:v>LIVE</x:v>
      </x:c>
      <x:c r="D17" s="8" t="str">
        <x:v>App-owned copy. Keep wording concise and accurate.</x:v>
      </x:c>
      <x:c r="E17" s="12" t="str">
        <x:f>IF(OR(A17="",B17="",C17=""),"FIX","READY")</x:f>
        <x:v>READY</x:v>
      </x:c>
    </x:row>
    <x:row r="18" ht="43.5" customHeight="1">
      <x:c r="A18" s="8" t="str">
        <x:v>account_eyebrow</x:v>
      </x:c>
      <x:c r="B18" s="8" t="str">
        <x:v>YOUR EVERYDAY, YOUR WAY</x:v>
      </x:c>
      <x:c r="C18" s="8" t="str">
        <x:v>LIVE</x:v>
      </x:c>
      <x:c r="D18" s="8" t="str">
        <x:v>App-owned copy. Keep wording concise and accurate.</x:v>
      </x:c>
      <x:c r="E18" s="12" t="str">
        <x:f>IF(OR(A18="",B18="",C18=""),"FIX","READY")</x:f>
        <x:v>READY</x:v>
      </x:c>
    </x:row>
    <x:row r="19" ht="43.5" customHeight="1">
      <x:c r="A19" s="8" t="str">
        <x:v>account_title</x:v>
      </x:c>
      <x:c r="B19" s="8" t="str">
        <x:v>Hello, foodie.</x:v>
      </x:c>
      <x:c r="C19" s="8" t="str">
        <x:v>LIVE</x:v>
      </x:c>
      <x:c r="D19" s="8" t="str">
        <x:v>App-owned copy. Keep wording concise and accurate.</x:v>
      </x:c>
      <x:c r="E19" s="12" t="str">
        <x:f>IF(OR(A19="",B19="",C19=""),"FIX","READY")</x:f>
        <x:v>READY</x:v>
      </x:c>
    </x:row>
    <x:row r="20" ht="43.5" customHeight="1">
      <x:c r="A20" s="8" t="str">
        <x:v>account_body</x:v>
      </x:c>
      <x:c r="B20" s="8" t="str">
        <x:v>Continue securely with your Shopify account.</x:v>
      </x:c>
      <x:c r="C20" s="8" t="str">
        <x:v>LIVE</x:v>
      </x:c>
      <x:c r="D20" s="8" t="str">
        <x:v>App-owned copy. Keep wording concise and accurate.</x:v>
      </x:c>
      <x:c r="E20" s="12" t="str">
        <x:f>IF(OR(A20="",B20="",C20=""),"FIX","READY")</x:f>
        <x:v>READY</x:v>
      </x:c>
    </x:row>
    <x:row r="21" ht="43.5" customHeight="1">
      <x:c r="A21" s="8" t="str">
        <x:v>account_cta</x:v>
      </x:c>
      <x:c r="B21" s="8" t="str">
        <x:v>Sign in on Shopify</x:v>
      </x:c>
      <x:c r="C21" s="8" t="str">
        <x:v>LIVE</x:v>
      </x:c>
      <x:c r="D21" s="8" t="str">
        <x:v>App-owned copy. Keep wording concise and accurate.</x:v>
      </x:c>
      <x:c r="E21" s="12" t="str">
        <x:f>IF(OR(A21="",B21="",C21=""),"FIX","READY")</x:f>
        <x:v>READY</x:v>
      </x:c>
    </x:row>
    <x:row r="22" ht="43.5" customHeight="1">
      <x:c r="A22" s="8" t="str">
        <x:v>favourites_title</x:v>
      </x:c>
      <x:c r="B22" s="8" t="str">
        <x:v>Saved favourites</x:v>
      </x:c>
      <x:c r="C22" s="8" t="str">
        <x:v>LIVE</x:v>
      </x:c>
      <x:c r="D22" s="8" t="str">
        <x:v>App-owned copy. Keep wording concise and accurate.</x:v>
      </x:c>
      <x:c r="E22" s="12" t="str">
        <x:f>IF(OR(A22="",B22="",C22=""),"FIX","READY")</x:f>
        <x:v>READY</x:v>
      </x:c>
    </x:row>
    <x:row r="23" ht="43.5" customHeight="1">
      <x:c r="A23" s="8" t="str">
        <x:v>city_title</x:v>
      </x:c>
      <x:c r="B23" s="8" t="str">
        <x:v>Browsing area</x:v>
      </x:c>
      <x:c r="C23" s="8" t="str">
        <x:v>LIVE</x:v>
      </x:c>
      <x:c r="D23" s="8" t="str">
        <x:v>App-owned copy. Keep wording concise and accurate.</x:v>
      </x:c>
      <x:c r="E23" s="12" t="str">
        <x:f>IF(OR(A23="",B23="",C23=""),"FIX","READY")</x:f>
        <x:v>READY</x:v>
      </x:c>
    </x:row>
    <x:row r="24" ht="43.5" customHeight="1">
      <x:c r="A24" s="8" t="str">
        <x:v>reminder_title</x:v>
      </x:c>
      <x:c r="B24" s="8" t="str">
        <x:v>Personal meal reminder</x:v>
      </x:c>
      <x:c r="C24" s="8" t="str">
        <x:v>LIVE</x:v>
      </x:c>
      <x:c r="D24" s="8" t="str">
        <x:v>App-owned copy. Keep wording concise and accurate.</x:v>
      </x:c>
      <x:c r="E24" s="12" t="str">
        <x:f>IF(OR(A24="",B24="",C24=""),"FIX","READY")</x:f>
        <x:v>READY</x:v>
      </x:c>
    </x:row>
    <x:row r="25" ht="43.5" customHeight="1">
      <x:c r="A25" s="8" t="str">
        <x:v>reminder_sheet_title</x:v>
      </x:c>
      <x:c r="B25" s="8" t="str">
        <x:v>A little meal check-in</x:v>
      </x:c>
      <x:c r="C25" s="8" t="str">
        <x:v>LIVE</x:v>
      </x:c>
      <x:c r="D25" s="8" t="str">
        <x:v>App-owned copy. Keep wording concise and accurate.</x:v>
      </x:c>
      <x:c r="E25" s="12" t="str">
        <x:f>IF(OR(A25="",B25="",C25=""),"FIX","READY")</x:f>
        <x:v>READY</x:v>
      </x:c>
    </x:row>
    <x:row r="26" ht="43.5" customHeight="1">
      <x:c r="A26" s="8" t="str">
        <x:v>reminder_sheet_body</x:v>
      </x:c>
      <x:c r="B26" s="8" t="str">
        <x:v>A personal weekday reminder in your phone’s local time. It is not a delivery notification or a meal-plan booking.</x:v>
      </x:c>
      <x:c r="C26" s="8" t="str">
        <x:v>LIVE</x:v>
      </x:c>
      <x:c r="D26" s="8" t="str">
        <x:v>App-owned copy. Keep wording concise and accurate.</x:v>
      </x:c>
      <x:c r="E26" s="12" t="str">
        <x:f>IF(OR(A26="",B26="",C26=""),"FIX","READY")</x:f>
        <x:v>READY</x:v>
      </x:c>
    </x:row>
    <x:row r="27" ht="43.5" customHeight="1">
      <x:c r="A27" s="8" t="str">
        <x:v>city_sheet_title</x:v>
      </x:c>
      <x:c r="B27" s="8" t="str">
        <x:v>Where are you browsing?</x:v>
      </x:c>
      <x:c r="C27" s="8" t="str">
        <x:v>LIVE</x:v>
      </x:c>
      <x:c r="D27" s="8" t="str">
        <x:v>App-owned copy. Keep wording concise and accurate.</x:v>
      </x:c>
      <x:c r="E27" s="12" t="str">
        <x:f>IF(OR(A27="",B27="",C27=""),"FIX","READY")</x:f>
        <x:v>READY</x:v>
      </x:c>
    </x:row>
    <x:row r="28" ht="43.5" customHeight="1">
      <x:c r="A28" s="8" t="str">
        <x:v>city_sheet_body</x:v>
      </x:c>
      <x:c r="B28" s="8" t="str">
        <x:v>Choose an area to personalize browsing. Final address eligibility is confirmed on Shopify.</x:v>
      </x:c>
      <x:c r="C28" s="8" t="str">
        <x:v>LIVE</x:v>
      </x:c>
      <x:c r="D28" s="8" t="str">
        <x:v>App-owned copy. Keep wording concise and accurate.</x:v>
      </x:c>
      <x:c r="E28" s="12" t="str">
        <x:f>IF(OR(A28="",B28="",C28=""),"FIX","READY")</x:f>
        <x:v>READY</x:v>
      </x:c>
    </x:row>
    <x:row r="29" ht="43.5" customHeight="1">
      <x:c r="A29" s="8" t="str">
        <x:v>shopify_truth_note</x:v>
      </x:c>
      <x:c r="B29" s="8" t="str">
        <x:v>Current prices, plan options, delivery dates, add-ons and address eligibility are always confirmed on Shopify.</x:v>
      </x:c>
      <x:c r="C29" s="8" t="str">
        <x:v>LIVE</x:v>
      </x:c>
      <x:c r="D29" s="8" t="str">
        <x:v>App-owned copy. Keep wording concise and accurate.</x:v>
      </x:c>
      <x:c r="E29" s="12" t="str">
        <x:f>IF(OR(A29="",B29="",C29=""),"FIX","READY")</x:f>
        <x:v>READY</x:v>
      </x:c>
    </x:row>
    <x:row r="30" ht="43.5" customHeight="1">
      <x:c r="A30" s="8" t="str">
        <x:v>offline_title</x:v>
      </x:c>
      <x:c r="B30" s="8" t="str">
        <x:v>Showing saved content</x:v>
      </x:c>
      <x:c r="C30" s="8" t="str">
        <x:v>LIVE</x:v>
      </x:c>
      <x:c r="D30" s="8" t="str">
        <x:v>App-owned copy. Keep wording concise and accurate.</x:v>
      </x:c>
      <x:c r="E30" s="12" t="str">
        <x:f>IF(OR(A30="",B30="",C30=""),"FIX","READY")</x:f>
        <x:v>READY</x:v>
      </x:c>
    </x:row>
    <x:row r="31" ht="43.5" customHeight="1">
      <x:c r="A31" s="8" t="str">
        <x:v>offline_body</x:v>
      </x:c>
      <x:c r="B31" s="8" t="str">
        <x:v>We couldn’t refresh the spreadsheet just now. You can keep browsing with the last saved version.</x:v>
      </x:c>
      <x:c r="C31" s="8" t="str">
        <x:v>LIVE</x:v>
      </x:c>
      <x:c r="D31" s="8" t="str">
        <x:v>App-owned copy. Keep wording concise and accurate.</x:v>
      </x:c>
      <x:c r="E31" s="12" t="str">
        <x:f>IF(OR(A31="",B31="",C31=""),"FIX","READY")</x:f>
        <x:v>READY</x:v>
      </x:c>
    </x:row>
    <x:row r="32" ht="43.5" customHeight="1">
      <x:c r="A32" s="8" t="str">
        <x:v>refreshing_label</x:v>
      </x:c>
      <x:c r="B32" s="8" t="str">
        <x:v>Refreshing app content…</x:v>
      </x:c>
      <x:c r="C32" s="8" t="str">
        <x:v>LIVE</x:v>
      </x:c>
      <x:c r="D32" s="8" t="str">
        <x:v>App-owned copy. Keep wording concise and accurate.</x:v>
      </x:c>
      <x:c r="E32" s="12" t="str">
        <x:f>IF(OR(A32="",B32="",C32=""),"FIX","READY")</x:f>
        <x:v>READY</x:v>
      </x:c>
    </x:row>
  </x:sheetData>
  <x:conditionalFormatting sqref="E2:E32">
    <x:cfRule type="containsText" dxfId="36" priority="1" operator="containsText" text="FIX"/>
    <x:cfRule type="containsText" dxfId="37" priority="2" operator="containsText" text="READY"/>
  </x:conditionalFormatting>
  <x:conditionalFormatting sqref="C2:C32">
    <x:cfRule type="containsText" dxfId="38" priority="3" operator="containsText" text="LIVE"/>
    <x:cfRule type="containsText" dxfId="39" priority="4" operator="containsText" text="DRAFT"/>
  </x:conditionalFormatting>
  <x:dataValidations count="1">
    <x:dataValidation type="list" sqref="C2:C32">
      <x:formula1>"LIVE,DRAFT"</x:formula1>
    </x:dataValidation>
  </x:dataValidations>
  <x:pageMargins left="0.7" right="0.7" top="0.75" bottom="0.75" header="0.3" footer="0.3"/>
  <x:tableParts count="1">
    <x:tablePart xmlns:r="http://schemas.openxmlformats.org/officeDocument/2006/relationships" r:id="R0ba3dd0e964b499b"/>
  </x:tableParts>
</x:worksheet>
</file>

<file path=xl/worksheets/sheet11.xml><?xml version="1.0" encoding="utf-8"?>
<x:worksheet xmlns:x="http://schemas.openxmlformats.org/spreadsheetml/2006/main">
  <x:sheetPr>
    <x:tabColor rgb="FFDE5200"/>
  </x:sheetPr>
  <x:sheetViews>
    <x:sheetView showGridLines="0" workbookViewId="0">
      <x:pane ySplit="1" topLeftCell="A2" activePane="bottomLeft" state="frozen"/>
    </x:sheetView>
  </x:sheetViews>
  <x:sheetFormatPr defaultRowHeight="15"/>
  <x:cols>
    <x:col min="1" max="1" width="17.780000686645508" hidden="0" customWidth="1"/>
    <x:col min="2" max="2" width="24.440000534057617" hidden="0" customWidth="1"/>
    <x:col min="3" max="3" width="31.110000610351562" hidden="0" customWidth="1"/>
    <x:col min="4" max="4" width="11.109999656677246" hidden="0" customWidth="1"/>
    <x:col min="5" max="5" width="24.440000534057617" hidden="0" customWidth="1"/>
    <x:col min="6" max="6" width="26.670000076293945" hidden="0" customWidth="1"/>
    <x:col min="7" max="7" width="53.33000183105469" hidden="0" customWidth="1"/>
    <x:col min="8" max="8" width="8.890000343322754" hidden="0" customWidth="1"/>
    <x:col min="9" max="9" width="8.890000343322754" hidden="0" customWidth="1"/>
    <x:col min="10" max="10" width="9.4399995803833" hidden="0" customWidth="1"/>
    <x:col min="11" max="11" width="10.5600004196167" hidden="0" customWidth="1"/>
  </x:cols>
  <x:sheetData>
    <x:row r="1" ht="25.5" customHeight="1">
      <x:c r="A1" s="11" t="str">
        <x:v>id</x:v>
      </x:c>
      <x:c r="B1" s="11" t="str">
        <x:v>title</x:v>
      </x:c>
      <x:c r="C1" s="11" t="str">
        <x:v>subtitle</x:v>
      </x:c>
      <x:c r="D1" s="11" t="str">
        <x:v>channel</x:v>
      </x:c>
      <x:c r="E1" s="11" t="str">
        <x:v>recipient</x:v>
      </x:c>
      <x:c r="F1" s="11" t="str">
        <x:v>subject</x:v>
      </x:c>
      <x:c r="G1" s="11" t="str">
        <x:v>body</x:v>
      </x:c>
      <x:c r="H1" s="11" t="str">
        <x:v>enabled</x:v>
      </x:c>
      <x:c r="I1" s="11" t="str">
        <x:v>status</x:v>
      </x:c>
      <x:c r="J1" s="11" t="str">
        <x:v>sort_order</x:v>
      </x:c>
      <x:c r="K1" s="11" t="str">
        <x:v>row_check</x:v>
      </x:c>
    </x:row>
    <x:row r="2" ht="66" customHeight="1">
      <x:c r="A2" s="8" t="str">
        <x:v>general_support</x:v>
      </x:c>
      <x:c r="B2" s="8" t="str">
        <x:v>Talk to TiffinStash</x:v>
      </x:c>
      <x:c r="C2" s="8" t="str">
        <x:v>Meal plans, orders and delivery help</x:v>
      </x:c>
      <x:c r="D2" s="8" t="str">
        <x:v>whatsapp</x:v>
      </x:c>
      <x:c r="E2" s="8" t="str"/>
      <x:c r="F2" s="8" t="str"/>
      <x:c r="G2" s="8" t="str">
        <x:v>Hi TiffinStash! I need help with my meal plan.</x:v>
      </x:c>
      <x:c r="H2" s="9" t="b">
        <x:v>1</x:v>
      </x:c>
      <x:c r="I2" s="8" t="str">
        <x:v>LIVE</x:v>
      </x:c>
      <x:c r="J2" s="8" t="n">
        <x:v>10</x:v>
      </x:c>
      <x:c r="K2" s="12" t="str">
        <x:f>IF(OR(A2="",B2="",D2="",G2="",H2="",I2="",AND(D2="email",E2="")),"FIX","READY")</x:f>
        <x:v>READY</x:v>
      </x:c>
    </x:row>
    <x:row r="3" ht="66" customHeight="1">
      <x:c r="A3" s="8" t="str">
        <x:v>plan_change</x:v>
      </x:c>
      <x:c r="B3" s="8" t="str">
        <x:v>Request a plan change</x:v>
      </x:c>
      <x:c r="C3" s="8" t="str">
        <x:v>Include your order number and requested dates</x:v>
      </x:c>
      <x:c r="D3" s="8" t="str">
        <x:v>email</x:v>
      </x:c>
      <x:c r="E3" s="8" t="str">
        <x:v>info@tiffinstash.com</x:v>
      </x:c>
      <x:c r="F3" s="8" t="str">
        <x:v>Meal plan change request</x:v>
      </x:c>
      <x:c r="G3" s="8" t="str">
        <x:v>Hi TiffinStash,
I would like to request a change to my meal plan.
Order number:
Requested dates or change:
Thank you.</x:v>
      </x:c>
      <x:c r="H3" s="9" t="b">
        <x:v>1</x:v>
      </x:c>
      <x:c r="I3" s="8" t="str">
        <x:v>LIVE</x:v>
      </x:c>
      <x:c r="J3" s="8" t="n">
        <x:v>20</x:v>
      </x:c>
      <x:c r="K3" s="12" t="str">
        <x:f>IF(OR(A3="",B3="",D3="",G3="",H3="",I3="",AND(D3="email",E3="")),"FIX","READY")</x:f>
        <x:v>READY</x:v>
      </x:c>
    </x:row>
    <x:row r="4" ht="66" customHeight="1">
      <x:c r="A4" s="8" t="str">
        <x:v>delivery_help</x:v>
      </x:c>
      <x:c r="B4" s="8" t="str">
        <x:v>Ask about a delivery</x:v>
      </x:c>
      <x:c r="C4" s="8" t="str">
        <x:v>Include your order number</x:v>
      </x:c>
      <x:c r="D4" s="8" t="str">
        <x:v>whatsapp</x:v>
      </x:c>
      <x:c r="E4" s="8" t="str"/>
      <x:c r="F4" s="8" t="str"/>
      <x:c r="G4" s="8" t="str">
        <x:v>Hi TiffinStash, I need an update on my delivery. My order number is:</x:v>
      </x:c>
      <x:c r="H4" s="9" t="b">
        <x:v>1</x:v>
      </x:c>
      <x:c r="I4" s="8" t="str">
        <x:v>LIVE</x:v>
      </x:c>
      <x:c r="J4" s="8" t="n">
        <x:v>30</x:v>
      </x:c>
      <x:c r="K4" s="12" t="str">
        <x:f>IF(OR(A4="",B4="",D4="",G4="",H4="",I4="",AND(D4="email",E4="")),"FIX","READY")</x:f>
        <x:v>READY</x:v>
      </x:c>
    </x:row>
    <x:row r="5" ht="66" customHeight="1">
      <x:c r="A5" s="8" t="str">
        <x:v>privacy_request</x:v>
      </x:c>
      <x:c r="B5" s="8" t="str">
        <x:v>Account and privacy requests</x:v>
      </x:c>
      <x:c r="C5" s="8" t="str">
        <x:v>Email the TiffinStash team</x:v>
      </x:c>
      <x:c r="D5" s="8" t="str">
        <x:v>email</x:v>
      </x:c>
      <x:c r="E5" s="8" t="str">
        <x:v>info@tiffinstash.com</x:v>
      </x:c>
      <x:c r="F5" s="8" t="str">
        <x:v>Account or privacy request</x:v>
      </x:c>
      <x:c r="G5" s="8" t="str">
        <x:v>Hi TiffinStash,
I would like help with the following account or privacy request:
</x:v>
      </x:c>
      <x:c r="H5" s="9" t="b">
        <x:v>1</x:v>
      </x:c>
      <x:c r="I5" s="8" t="str">
        <x:v>LIVE</x:v>
      </x:c>
      <x:c r="J5" s="8" t="n">
        <x:v>40</x:v>
      </x:c>
      <x:c r="K5" s="12" t="str">
        <x:f>IF(OR(A5="",B5="",D5="",G5="",H5="",I5="",AND(D5="email",E5="")),"FIX","READY")</x:f>
        <x:v>READY</x:v>
      </x:c>
    </x:row>
  </x:sheetData>
  <x:conditionalFormatting sqref="K2:K5">
    <x:cfRule type="containsText" dxfId="40" priority="1" operator="containsText" text="FIX"/>
    <x:cfRule type="containsText" dxfId="41" priority="2" operator="containsText" text="READY"/>
  </x:conditionalFormatting>
  <x:conditionalFormatting sqref="I2:I5">
    <x:cfRule type="containsText" dxfId="42" priority="3" operator="containsText" text="LIVE"/>
    <x:cfRule type="containsText" dxfId="43" priority="4" operator="containsText" text="DRAFT"/>
  </x:conditionalFormatting>
  <x:dataValidations count="4">
    <x:dataValidation type="list" sqref="D2:D5">
      <x:formula1>"email,whatsapp"</x:formula1>
    </x:dataValidation>
    <x:dataValidation type="list" sqref="H2:H5">
      <x:formula1>"TRUE,FALSE"</x:formula1>
    </x:dataValidation>
    <x:dataValidation type="list" sqref="I2:I5">
      <x:formula1>"LIVE,DRAFT"</x:formula1>
    </x:dataValidation>
    <x:dataValidation type="whole" operator="between" sqref="J2:J5">
      <x:formula1>0</x:formula1>
      <x:formula2>10000</x:formula2>
    </x:dataValidation>
  </x:dataValidations>
  <x:pageMargins left="0.7" right="0.7" top="0.75" bottom="0.75" header="0.3" footer="0.3"/>
  <x:tableParts count="1">
    <x:tablePart xmlns:r="http://schemas.openxmlformats.org/officeDocument/2006/relationships" r:id="R2be46b668e1a4e3c"/>
  </x:tableParts>
</x:worksheet>
</file>

<file path=xl/worksheets/sheet12.xml><?xml version="1.0" encoding="utf-8"?>
<x:worksheet xmlns:x="http://schemas.openxmlformats.org/spreadsheetml/2006/main">
  <x:sheetPr>
    <x:tabColor rgb="FFDE5200"/>
  </x:sheetPr>
  <x:sheetViews>
    <x:sheetView showGridLines="0" workbookViewId="0">
      <x:pane ySplit="1" topLeftCell="A2" activePane="bottomLeft" state="frozen"/>
    </x:sheetView>
  </x:sheetViews>
  <x:sheetFormatPr defaultRowHeight="15"/>
  <x:cols>
    <x:col min="1" max="1" width="20" hidden="0" customWidth="1"/>
    <x:col min="2" max="2" width="10" hidden="0" customWidth="1"/>
    <x:col min="3" max="3" width="8.890000343322754" hidden="0" customWidth="1"/>
    <x:col min="4" max="4" width="47.779998779296875" hidden="0" customWidth="1"/>
    <x:col min="5" max="5" width="10.5600004196167" hidden="0" customWidth="1"/>
  </x:cols>
  <x:sheetData>
    <x:row r="1" ht="25.5" customHeight="1">
      <x:c r="A1" s="11" t="str">
        <x:v>key</x:v>
      </x:c>
      <x:c r="B1" s="11" t="str">
        <x:v>enabled</x:v>
      </x:c>
      <x:c r="C1" s="11" t="str">
        <x:v>status</x:v>
      </x:c>
      <x:c r="D1" s="11" t="str">
        <x:v>description</x:v>
      </x:c>
      <x:c r="E1" s="11" t="str">
        <x:v>row_check</x:v>
      </x:c>
    </x:row>
    <x:row r="2" ht="31.5" customHeight="1">
      <x:c r="A2" s="8" t="str">
        <x:v>favorites</x:v>
      </x:c>
      <x:c r="B2" s="9" t="b">
        <x:v>1</x:v>
      </x:c>
      <x:c r="C2" s="8" t="str">
        <x:v>LIVE</x:v>
      </x:c>
      <x:c r="D2" s="8" t="str">
        <x:v>Let customers save featured cards on this device.</x:v>
      </x:c>
      <x:c r="E2" s="12" t="str">
        <x:f>IF(OR(A2="",B2="",C2=""),"FIX","READY")</x:f>
        <x:v>READY</x:v>
      </x:c>
    </x:row>
    <x:row r="3" ht="31.5" customHeight="1">
      <x:c r="A3" s="8" t="str">
        <x:v>cityPicker</x:v>
      </x:c>
      <x:c r="B3" s="9" t="b">
        <x:v>1</x:v>
      </x:c>
      <x:c r="C3" s="8" t="str">
        <x:v>LIVE</x:v>
      </x:c>
      <x:c r="D3" s="8" t="str">
        <x:v>Show browsing-area selector.</x:v>
      </x:c>
      <x:c r="E3" s="12" t="str">
        <x:f>IF(OR(A3="",B3="",C3=""),"FIX","READY")</x:f>
        <x:v>READY</x:v>
      </x:c>
    </x:row>
    <x:row r="4" ht="31.5" customHeight="1">
      <x:c r="A4" s="8" t="str">
        <x:v>localReminders</x:v>
      </x:c>
      <x:c r="B4" s="9" t="b">
        <x:v>1</x:v>
      </x:c>
      <x:c r="C4" s="8" t="str">
        <x:v>LIVE</x:v>
      </x:c>
      <x:c r="D4" s="8" t="str">
        <x:v>Allow optional weekday reminders stored on-device.</x:v>
      </x:c>
      <x:c r="E4" s="12" t="str">
        <x:f>IF(OR(A4="",B4="",C4=""),"FIX","READY")</x:f>
        <x:v>READY</x:v>
      </x:c>
    </x:row>
    <x:row r="5" ht="31.5" customHeight="1">
      <x:c r="A5" s="8" t="str">
        <x:v>inAppMessages</x:v>
      </x:c>
      <x:c r="B5" s="9" t="b">
        <x:v>1</x:v>
      </x:c>
      <x:c r="C5" s="8" t="str">
        <x:v>LIVE</x:v>
      </x:c>
      <x:c r="D5" s="8" t="str">
        <x:v>Show date-bounded announcement cards.</x:v>
      </x:c>
      <x:c r="E5" s="12" t="str">
        <x:f>IF(OR(A5="",B5="",C5=""),"FIX","READY")</x:f>
        <x:v>READY</x:v>
      </x:c>
    </x:row>
    <x:row r="6" ht="31.5" customHeight="1">
      <x:c r="A6" s="8" t="str">
        <x:v>pullToRefresh</x:v>
      </x:c>
      <x:c r="B6" s="9" t="b">
        <x:v>1</x:v>
      </x:c>
      <x:c r="C6" s="8" t="str">
        <x:v>LIVE</x:v>
      </x:c>
      <x:c r="D6" s="8" t="str">
        <x:v>Allow pull-to-refresh from the content endpoint.</x:v>
      </x:c>
      <x:c r="E6" s="12" t="str">
        <x:f>IF(OR(A6="",B6="",C6=""),"FIX","READY")</x:f>
        <x:v>READY</x:v>
      </x:c>
    </x:row>
    <x:row r="7" ht="31.5" customHeight="1">
      <x:c r="A7" s="8" t="str">
        <x:v>showAnnouncement</x:v>
      </x:c>
      <x:c r="B7" s="9" t="b">
        <x:v>1</x:v>
      </x:c>
      <x:c r="C7" s="8" t="str">
        <x:v>LIVE</x:v>
      </x:c>
      <x:c r="D7" s="8" t="str">
        <x:v>Show the slim announcement bar.</x:v>
      </x:c>
      <x:c r="E7" s="12" t="str">
        <x:f>IF(OR(A7="",B7="",C7=""),"FIX","READY")</x:f>
        <x:v>READY</x:v>
      </x:c>
    </x:row>
  </x:sheetData>
  <x:conditionalFormatting sqref="E2:E7">
    <x:cfRule type="containsText" dxfId="44" priority="1" operator="containsText" text="FIX"/>
    <x:cfRule type="containsText" dxfId="45" priority="2" operator="containsText" text="READY"/>
  </x:conditionalFormatting>
  <x:conditionalFormatting sqref="C2:C7">
    <x:cfRule type="containsText" dxfId="46" priority="3" operator="containsText" text="LIVE"/>
    <x:cfRule type="containsText" dxfId="47" priority="4" operator="containsText" text="DRAFT"/>
  </x:conditionalFormatting>
  <x:dataValidations count="2">
    <x:dataValidation type="list" sqref="B2:B7">
      <x:formula1>"TRUE,FALSE"</x:formula1>
    </x:dataValidation>
    <x:dataValidation type="list" sqref="C2:C7">
      <x:formula1>"LIVE,DRAFT"</x:formula1>
    </x:dataValidation>
  </x:dataValidations>
  <x:pageMargins left="0.7" right="0.7" top="0.75" bottom="0.75" header="0.3" footer="0.3"/>
  <x:tableParts count="1">
    <x:tablePart xmlns:r="http://schemas.openxmlformats.org/officeDocument/2006/relationships" r:id="Rccc1af7b03284329"/>
  </x:tableParts>
</x:worksheet>
</file>

<file path=xl/worksheets/sheet13.xml><?xml version="1.0" encoding="utf-8"?>
<x:worksheet xmlns:x="http://schemas.openxmlformats.org/spreadsheetml/2006/main">
  <x:sheetPr>
    <x:tabColor rgb="FFDE5200"/>
  </x:sheetPr>
  <x:sheetViews>
    <x:sheetView showGridLines="0" workbookViewId="0">
      <x:pane ySplit="1" topLeftCell="A2" activePane="bottomLeft" state="frozen"/>
    </x:sheetView>
  </x:sheetViews>
  <x:sheetFormatPr defaultRowHeight="15"/>
  <x:cols>
    <x:col min="1" max="1" width="16.670000076293945" hidden="0" customWidth="1"/>
    <x:col min="2" max="2" width="27.780000686645508" hidden="0" customWidth="1"/>
    <x:col min="3" max="3" width="42.220001220703125" hidden="0" customWidth="1"/>
    <x:col min="4" max="4" width="11.109999656677246" hidden="0" customWidth="1"/>
    <x:col min="5" max="5" width="15" hidden="0" customWidth="1"/>
    <x:col min="6" max="6" width="27.780000686645508" hidden="0" customWidth="1"/>
    <x:col min="7" max="7" width="19.440000534057617" hidden="0" customWidth="1"/>
    <x:col min="8" max="8" width="19.440000534057617" hidden="0" customWidth="1"/>
    <x:col min="9" max="9" width="8.890000343322754" hidden="0" customWidth="1"/>
    <x:col min="10" max="10" width="8.890000343322754" hidden="0" customWidth="1"/>
    <x:col min="11" max="11" width="9.4399995803833" hidden="0" customWidth="1"/>
    <x:col min="12" max="12" width="10.5600004196167" hidden="0" customWidth="1"/>
  </x:cols>
  <x:sheetData>
    <x:row r="1" ht="25.5" customHeight="1">
      <x:c r="A1" s="11" t="str">
        <x:v>id</x:v>
      </x:c>
      <x:c r="B1" s="11" t="str">
        <x:v>title</x:v>
      </x:c>
      <x:c r="C1" s="11" t="str">
        <x:v>body</x:v>
      </x:c>
      <x:c r="D1" s="11" t="str">
        <x:v>style</x:v>
      </x:c>
      <x:c r="E1" s="11" t="str">
        <x:v>cta_label</x:v>
      </x:c>
      <x:c r="F1" s="11" t="str">
        <x:v>path</x:v>
      </x:c>
      <x:c r="G1" s="11" t="str">
        <x:v>starts_at</x:v>
      </x:c>
      <x:c r="H1" s="11" t="str">
        <x:v>ends_at</x:v>
      </x:c>
      <x:c r="I1" s="11" t="str">
        <x:v>enabled</x:v>
      </x:c>
      <x:c r="J1" s="11" t="str">
        <x:v>status</x:v>
      </x:c>
      <x:c r="K1" s="11" t="str">
        <x:v>sort_order</x:v>
      </x:c>
      <x:c r="L1" s="11" t="str">
        <x:v>row_check</x:v>
      </x:c>
    </x:row>
    <x:row r="2" ht="31.5" customHeight="1">
      <x:c r="A2" s="8" t="str">
        <x:v>welcome</x:v>
      </x:c>
      <x:c r="B2" s="8" t="str">
        <x:v>30+ trusted sellers. 100+ meal options.</x:v>
      </x:c>
      <x:c r="C2" s="8" t="str">
        <x:v>Lunch and dinner delivery across the GTA.</x:v>
      </x:c>
      <x:c r="D2" s="8" t="str">
        <x:v>info</x:v>
      </x:c>
      <x:c r="E2" s="8" t="str">
        <x:v>Browse all</x:v>
      </x:c>
      <x:c r="F2" s="8" t="str">
        <x:v>/collections/all</x:v>
      </x:c>
      <x:c r="G2" s="13" t="n">
        <x:v>46023</x:v>
      </x:c>
      <x:c r="H2" s="13" t="n">
        <x:v>46752.99998842592</x:v>
      </x:c>
      <x:c r="I2" s="9" t="b">
        <x:v>1</x:v>
      </x:c>
      <x:c r="J2" s="8" t="str">
        <x:v>LIVE</x:v>
      </x:c>
      <x:c r="K2" s="8" t="n">
        <x:v>10</x:v>
      </x:c>
      <x:c r="L2" s="12" t="str">
        <x:f>IF(OR(A2="",B2="",D2="",I2="",J2=""),"FIX","READY")</x:f>
        <x:v>READY</x:v>
      </x:c>
    </x:row>
  </x:sheetData>
  <x:conditionalFormatting sqref="L2:L2">
    <x:cfRule type="containsText" dxfId="48" priority="1" operator="containsText" text="FIX"/>
    <x:cfRule type="containsText" dxfId="49" priority="2" operator="containsText" text="READY"/>
  </x:conditionalFormatting>
  <x:conditionalFormatting sqref="J2:J2">
    <x:cfRule type="containsText" dxfId="50" priority="3" operator="containsText" text="LIVE"/>
    <x:cfRule type="containsText" dxfId="51" priority="4" operator="containsText" text="DRAFT"/>
  </x:conditionalFormatting>
  <x:dataValidations count="4">
    <x:dataValidation type="list" sqref="D2">
      <x:formula1>"info,success,warning"</x:formula1>
    </x:dataValidation>
    <x:dataValidation type="list" sqref="I2">
      <x:formula1>"TRUE,FALSE"</x:formula1>
    </x:dataValidation>
    <x:dataValidation type="list" sqref="J2">
      <x:formula1>"LIVE,DRAFT"</x:formula1>
    </x:dataValidation>
    <x:dataValidation type="whole" operator="between" sqref="K2">
      <x:formula1>0</x:formula1>
      <x:formula2>10000</x:formula2>
    </x:dataValidation>
  </x:dataValidations>
  <x:pageMargins left="0.7" right="0.7" top="0.75" bottom="0.75" header="0.3" footer="0.3"/>
  <x:tableParts count="1">
    <x:tablePart xmlns:r="http://schemas.openxmlformats.org/officeDocument/2006/relationships" r:id="Rb3c3bb3729084913"/>
  </x:tableParts>
</x:worksheet>
</file>

<file path=xl/worksheets/sheet14.xml><?xml version="1.0" encoding="utf-8"?>
<x:worksheet xmlns:x="http://schemas.openxmlformats.org/spreadsheetml/2006/main">
  <x:sheetPr>
    <x:tabColor rgb="FFDE5200"/>
  </x:sheetPr>
  <x:sheetViews>
    <x:sheetView showGridLines="0" workbookViewId="0">
      <x:pane ySplit="1" topLeftCell="A2" activePane="bottomLeft" state="frozen"/>
    </x:sheetView>
  </x:sheetViews>
  <x:sheetFormatPr defaultRowHeight="15"/>
  <x:cols>
    <x:col min="1" max="1" width="24.440000534057617" hidden="0" customWidth="1"/>
    <x:col min="2" max="2" width="10" hidden="0" customWidth="1"/>
    <x:col min="3" max="3" width="8.890000343322754" hidden="0" customWidth="1"/>
    <x:col min="4" max="4" width="10" hidden="0" customWidth="1"/>
    <x:col min="5" max="5" width="10.5600004196167" hidden="0" customWidth="1"/>
  </x:cols>
  <x:sheetData>
    <x:row r="1" ht="25.5" customHeight="1">
      <x:c r="A1" s="11" t="str">
        <x:v>city</x:v>
      </x:c>
      <x:c r="B1" s="11" t="str">
        <x:v>enabled</x:v>
      </x:c>
      <x:c r="C1" s="11" t="str">
        <x:v>status</x:v>
      </x:c>
      <x:c r="D1" s="11" t="str">
        <x:v>sort_order</x:v>
      </x:c>
      <x:c r="E1" s="11" t="str">
        <x:v>row_check</x:v>
      </x:c>
    </x:row>
    <x:row r="2" ht="31.5" customHeight="1">
      <x:c r="A2" s="8" t="str">
        <x:v>All areas</x:v>
      </x:c>
      <x:c r="B2" s="9" t="b">
        <x:v>1</x:v>
      </x:c>
      <x:c r="C2" s="8" t="str">
        <x:v>LIVE</x:v>
      </x:c>
      <x:c r="D2" s="8" t="n">
        <x:v>0</x:v>
      </x:c>
      <x:c r="E2" s="12" t="str">
        <x:f>IF(OR(A2="",B2="",C2=""),"FIX","READY")</x:f>
        <x:v>READY</x:v>
      </x:c>
    </x:row>
    <x:row r="3" ht="31.5" customHeight="1">
      <x:c r="A3" s="8" t="str">
        <x:v>Ajax</x:v>
      </x:c>
      <x:c r="B3" s="9" t="b">
        <x:v>1</x:v>
      </x:c>
      <x:c r="C3" s="8" t="str">
        <x:v>LIVE</x:v>
      </x:c>
      <x:c r="D3" s="8" t="n">
        <x:v>10</x:v>
      </x:c>
      <x:c r="E3" s="12" t="str">
        <x:f>IF(OR(A3="",B3="",C3=""),"FIX","READY")</x:f>
        <x:v>READY</x:v>
      </x:c>
    </x:row>
    <x:row r="4" ht="31.5" customHeight="1">
      <x:c r="A4" s="8" t="str">
        <x:v>Bowmanville</x:v>
      </x:c>
      <x:c r="B4" s="9" t="b">
        <x:v>1</x:v>
      </x:c>
      <x:c r="C4" s="8" t="str">
        <x:v>LIVE</x:v>
      </x:c>
      <x:c r="D4" s="8" t="n">
        <x:v>20</x:v>
      </x:c>
      <x:c r="E4" s="12" t="str">
        <x:f>IF(OR(A4="",B4="",C4=""),"FIX","READY")</x:f>
        <x:v>READY</x:v>
      </x:c>
    </x:row>
    <x:row r="5" ht="31.5" customHeight="1">
      <x:c r="A5" s="8" t="str">
        <x:v>Brampton</x:v>
      </x:c>
      <x:c r="B5" s="9" t="b">
        <x:v>1</x:v>
      </x:c>
      <x:c r="C5" s="8" t="str">
        <x:v>LIVE</x:v>
      </x:c>
      <x:c r="D5" s="8" t="n">
        <x:v>30</x:v>
      </x:c>
      <x:c r="E5" s="12" t="str">
        <x:f>IF(OR(A5="",B5="",C5=""),"FIX","READY")</x:f>
        <x:v>READY</x:v>
      </x:c>
    </x:row>
    <x:row r="6" ht="31.5" customHeight="1">
      <x:c r="A6" s="8" t="str">
        <x:v>Burlington</x:v>
      </x:c>
      <x:c r="B6" s="9" t="b">
        <x:v>1</x:v>
      </x:c>
      <x:c r="C6" s="8" t="str">
        <x:v>LIVE</x:v>
      </x:c>
      <x:c r="D6" s="8" t="n">
        <x:v>40</x:v>
      </x:c>
      <x:c r="E6" s="12" t="str">
        <x:f>IF(OR(A6="",B6="",C6=""),"FIX","READY")</x:f>
        <x:v>READY</x:v>
      </x:c>
    </x:row>
    <x:row r="7" ht="31.5" customHeight="1">
      <x:c r="A7" s="8" t="str">
        <x:v>Courtice</x:v>
      </x:c>
      <x:c r="B7" s="9" t="b">
        <x:v>1</x:v>
      </x:c>
      <x:c r="C7" s="8" t="str">
        <x:v>LIVE</x:v>
      </x:c>
      <x:c r="D7" s="8" t="n">
        <x:v>50</x:v>
      </x:c>
      <x:c r="E7" s="12" t="str">
        <x:f>IF(OR(A7="",B7="",C7=""),"FIX","READY")</x:f>
        <x:v>READY</x:v>
      </x:c>
    </x:row>
    <x:row r="8" ht="31.5" customHeight="1">
      <x:c r="A8" s="8" t="str">
        <x:v>East York</x:v>
      </x:c>
      <x:c r="B8" s="9" t="b">
        <x:v>1</x:v>
      </x:c>
      <x:c r="C8" s="8" t="str">
        <x:v>LIVE</x:v>
      </x:c>
      <x:c r="D8" s="8" t="n">
        <x:v>60</x:v>
      </x:c>
      <x:c r="E8" s="12" t="str">
        <x:f>IF(OR(A8="",B8="",C8=""),"FIX","READY")</x:f>
        <x:v>READY</x:v>
      </x:c>
    </x:row>
    <x:row r="9" ht="31.5" customHeight="1">
      <x:c r="A9" s="8" t="str">
        <x:v>Etobicoke</x:v>
      </x:c>
      <x:c r="B9" s="9" t="b">
        <x:v>1</x:v>
      </x:c>
      <x:c r="C9" s="8" t="str">
        <x:v>LIVE</x:v>
      </x:c>
      <x:c r="D9" s="8" t="n">
        <x:v>70</x:v>
      </x:c>
      <x:c r="E9" s="12" t="str">
        <x:f>IF(OR(A9="",B9="",C9=""),"FIX","READY")</x:f>
        <x:v>READY</x:v>
      </x:c>
    </x:row>
    <x:row r="10" ht="31.5" customHeight="1">
      <x:c r="A10" s="8" t="str">
        <x:v>Maple</x:v>
      </x:c>
      <x:c r="B10" s="9" t="b">
        <x:v>1</x:v>
      </x:c>
      <x:c r="C10" s="8" t="str">
        <x:v>LIVE</x:v>
      </x:c>
      <x:c r="D10" s="8" t="n">
        <x:v>80</x:v>
      </x:c>
      <x:c r="E10" s="12" t="str">
        <x:f>IF(OR(A10="",B10="",C10=""),"FIX","READY")</x:f>
        <x:v>READY</x:v>
      </x:c>
    </x:row>
    <x:row r="11" ht="31.5" customHeight="1">
      <x:c r="A11" s="8" t="str">
        <x:v>Markham</x:v>
      </x:c>
      <x:c r="B11" s="9" t="b">
        <x:v>1</x:v>
      </x:c>
      <x:c r="C11" s="8" t="str">
        <x:v>LIVE</x:v>
      </x:c>
      <x:c r="D11" s="8" t="n">
        <x:v>90</x:v>
      </x:c>
      <x:c r="E11" s="12" t="str">
        <x:f>IF(OR(A11="",B11="",C11=""),"FIX","READY")</x:f>
        <x:v>READY</x:v>
      </x:c>
    </x:row>
    <x:row r="12" ht="31.5" customHeight="1">
      <x:c r="A12" s="8" t="str">
        <x:v>Milton</x:v>
      </x:c>
      <x:c r="B12" s="9" t="b">
        <x:v>1</x:v>
      </x:c>
      <x:c r="C12" s="8" t="str">
        <x:v>LIVE</x:v>
      </x:c>
      <x:c r="D12" s="8" t="n">
        <x:v>100</x:v>
      </x:c>
      <x:c r="E12" s="12" t="str">
        <x:f>IF(OR(A12="",B12="",C12=""),"FIX","READY")</x:f>
        <x:v>READY</x:v>
      </x:c>
    </x:row>
    <x:row r="13" ht="31.5" customHeight="1">
      <x:c r="A13" s="8" t="str">
        <x:v>Mississauga</x:v>
      </x:c>
      <x:c r="B13" s="9" t="b">
        <x:v>1</x:v>
      </x:c>
      <x:c r="C13" s="8" t="str">
        <x:v>LIVE</x:v>
      </x:c>
      <x:c r="D13" s="8" t="n">
        <x:v>110</x:v>
      </x:c>
      <x:c r="E13" s="12" t="str">
        <x:f>IF(OR(A13="",B13="",C13=""),"FIX","READY")</x:f>
        <x:v>READY</x:v>
      </x:c>
    </x:row>
    <x:row r="14" ht="31.5" customHeight="1">
      <x:c r="A14" s="8" t="str">
        <x:v>North York</x:v>
      </x:c>
      <x:c r="B14" s="9" t="b">
        <x:v>1</x:v>
      </x:c>
      <x:c r="C14" s="8" t="str">
        <x:v>LIVE</x:v>
      </x:c>
      <x:c r="D14" s="8" t="n">
        <x:v>120</x:v>
      </x:c>
      <x:c r="E14" s="12" t="str">
        <x:f>IF(OR(A14="",B14="",C14=""),"FIX","READY")</x:f>
        <x:v>READY</x:v>
      </x:c>
    </x:row>
    <x:row r="15" ht="31.5" customHeight="1">
      <x:c r="A15" s="8" t="str">
        <x:v>Oakville</x:v>
      </x:c>
      <x:c r="B15" s="9" t="b">
        <x:v>1</x:v>
      </x:c>
      <x:c r="C15" s="8" t="str">
        <x:v>LIVE</x:v>
      </x:c>
      <x:c r="D15" s="8" t="n">
        <x:v>130</x:v>
      </x:c>
      <x:c r="E15" s="12" t="str">
        <x:f>IF(OR(A15="",B15="",C15=""),"FIX","READY")</x:f>
        <x:v>READY</x:v>
      </x:c>
    </x:row>
    <x:row r="16" ht="31.5" customHeight="1">
      <x:c r="A16" s="8" t="str">
        <x:v>Oshawa</x:v>
      </x:c>
      <x:c r="B16" s="9" t="b">
        <x:v>1</x:v>
      </x:c>
      <x:c r="C16" s="8" t="str">
        <x:v>LIVE</x:v>
      </x:c>
      <x:c r="D16" s="8" t="n">
        <x:v>140</x:v>
      </x:c>
      <x:c r="E16" s="12" t="str">
        <x:f>IF(OR(A16="",B16="",C16=""),"FIX","READY")</x:f>
        <x:v>READY</x:v>
      </x:c>
    </x:row>
    <x:row r="17" ht="31.5" customHeight="1">
      <x:c r="A17" s="8" t="str">
        <x:v>Pickering</x:v>
      </x:c>
      <x:c r="B17" s="9" t="b">
        <x:v>1</x:v>
      </x:c>
      <x:c r="C17" s="8" t="str">
        <x:v>LIVE</x:v>
      </x:c>
      <x:c r="D17" s="8" t="n">
        <x:v>150</x:v>
      </x:c>
      <x:c r="E17" s="12" t="str">
        <x:f>IF(OR(A17="",B17="",C17=""),"FIX","READY")</x:f>
        <x:v>READY</x:v>
      </x:c>
    </x:row>
    <x:row r="18" ht="31.5" customHeight="1">
      <x:c r="A18" s="8" t="str">
        <x:v>Richmond Hill</x:v>
      </x:c>
      <x:c r="B18" s="9" t="b">
        <x:v>1</x:v>
      </x:c>
      <x:c r="C18" s="8" t="str">
        <x:v>LIVE</x:v>
      </x:c>
      <x:c r="D18" s="8" t="n">
        <x:v>160</x:v>
      </x:c>
      <x:c r="E18" s="12" t="str">
        <x:f>IF(OR(A18="",B18="",C18=""),"FIX","READY")</x:f>
        <x:v>READY</x:v>
      </x:c>
    </x:row>
    <x:row r="19" ht="31.5" customHeight="1">
      <x:c r="A19" s="8" t="str">
        <x:v>Scarborough</x:v>
      </x:c>
      <x:c r="B19" s="9" t="b">
        <x:v>1</x:v>
      </x:c>
      <x:c r="C19" s="8" t="str">
        <x:v>LIVE</x:v>
      </x:c>
      <x:c r="D19" s="8" t="n">
        <x:v>170</x:v>
      </x:c>
      <x:c r="E19" s="12" t="str">
        <x:f>IF(OR(A19="",B19="",C19=""),"FIX","READY")</x:f>
        <x:v>READY</x:v>
      </x:c>
    </x:row>
    <x:row r="20" ht="31.5" customHeight="1">
      <x:c r="A20" s="8" t="str">
        <x:v>Thornhill</x:v>
      </x:c>
      <x:c r="B20" s="9" t="b">
        <x:v>1</x:v>
      </x:c>
      <x:c r="C20" s="8" t="str">
        <x:v>LIVE</x:v>
      </x:c>
      <x:c r="D20" s="8" t="n">
        <x:v>180</x:v>
      </x:c>
      <x:c r="E20" s="12" t="str">
        <x:f>IF(OR(A20="",B20="",C20=""),"FIX","READY")</x:f>
        <x:v>READY</x:v>
      </x:c>
    </x:row>
    <x:row r="21" ht="31.5" customHeight="1">
      <x:c r="A21" s="8" t="str">
        <x:v>Toronto</x:v>
      </x:c>
      <x:c r="B21" s="9" t="b">
        <x:v>1</x:v>
      </x:c>
      <x:c r="C21" s="8" t="str">
        <x:v>LIVE</x:v>
      </x:c>
      <x:c r="D21" s="8" t="n">
        <x:v>190</x:v>
      </x:c>
      <x:c r="E21" s="12" t="str">
        <x:f>IF(OR(A21="",B21="",C21=""),"FIX","READY")</x:f>
        <x:v>READY</x:v>
      </x:c>
    </x:row>
    <x:row r="22" ht="31.5" customHeight="1">
      <x:c r="A22" s="8" t="str">
        <x:v>Vaughan</x:v>
      </x:c>
      <x:c r="B22" s="9" t="b">
        <x:v>1</x:v>
      </x:c>
      <x:c r="C22" s="8" t="str">
        <x:v>LIVE</x:v>
      </x:c>
      <x:c r="D22" s="8" t="n">
        <x:v>200</x:v>
      </x:c>
      <x:c r="E22" s="12" t="str">
        <x:f>IF(OR(A22="",B22="",C22=""),"FIX","READY")</x:f>
        <x:v>READY</x:v>
      </x:c>
    </x:row>
    <x:row r="23" ht="31.5" customHeight="1">
      <x:c r="A23" s="8" t="str">
        <x:v>Whitby</x:v>
      </x:c>
      <x:c r="B23" s="9" t="b">
        <x:v>1</x:v>
      </x:c>
      <x:c r="C23" s="8" t="str">
        <x:v>LIVE</x:v>
      </x:c>
      <x:c r="D23" s="8" t="n">
        <x:v>210</x:v>
      </x:c>
      <x:c r="E23" s="12" t="str">
        <x:f>IF(OR(A23="",B23="",C23=""),"FIX","READY")</x:f>
        <x:v>READY</x:v>
      </x:c>
    </x:row>
    <x:row r="24" ht="31.5" customHeight="1">
      <x:c r="A24" s="8" t="str">
        <x:v>Woodbridge</x:v>
      </x:c>
      <x:c r="B24" s="9" t="b">
        <x:v>1</x:v>
      </x:c>
      <x:c r="C24" s="8" t="str">
        <x:v>LIVE</x:v>
      </x:c>
      <x:c r="D24" s="8" t="n">
        <x:v>220</x:v>
      </x:c>
      <x:c r="E24" s="12" t="str">
        <x:f>IF(OR(A24="",B24="",C24=""),"FIX","READY")</x:f>
        <x:v>READY</x:v>
      </x:c>
    </x:row>
  </x:sheetData>
  <x:conditionalFormatting sqref="E2:E24">
    <x:cfRule type="containsText" dxfId="52" priority="1" operator="containsText" text="FIX"/>
    <x:cfRule type="containsText" dxfId="53" priority="2" operator="containsText" text="READY"/>
  </x:conditionalFormatting>
  <x:conditionalFormatting sqref="C2:C24">
    <x:cfRule type="containsText" dxfId="54" priority="3" operator="containsText" text="LIVE"/>
    <x:cfRule type="containsText" dxfId="55" priority="4" operator="containsText" text="DRAFT"/>
  </x:conditionalFormatting>
  <x:dataValidations count="3">
    <x:dataValidation type="list" sqref="B2:B24">
      <x:formula1>"TRUE,FALSE"</x:formula1>
    </x:dataValidation>
    <x:dataValidation type="list" sqref="C2:C24">
      <x:formula1>"LIVE,DRAFT"</x:formula1>
    </x:dataValidation>
    <x:dataValidation type="whole" operator="between" sqref="D2:D24">
      <x:formula1>0</x:formula1>
      <x:formula2>10000</x:formula2>
    </x:dataValidation>
  </x:dataValidations>
  <x:pageMargins left="0.7" right="0.7" top="0.75" bottom="0.75" header="0.3" footer="0.3"/>
  <x:tableParts count="1">
    <x:tablePart xmlns:r="http://schemas.openxmlformats.org/officeDocument/2006/relationships" r:id="Rb7049f0dd72c4cc3"/>
  </x:tableParts>
</x:worksheet>
</file>

<file path=xl/worksheets/sheet15.xml><?xml version="1.0" encoding="utf-8"?>
<x:worksheet xmlns:x="http://schemas.openxmlformats.org/spreadsheetml/2006/main">
  <x:sheetPr>
    <x:tabColor rgb="FFDE5200"/>
  </x:sheetPr>
  <x:sheetViews>
    <x:sheetView showGridLines="0" workbookViewId="0">
      <x:pane ySplit="2" topLeftCell="A3" activePane="bottomLeft" state="frozen"/>
    </x:sheetView>
  </x:sheetViews>
  <x:sheetFormatPr defaultRowHeight="15"/>
  <x:cols>
    <x:col min="1" max="1" width="25.559999465942383" hidden="0" customWidth="1"/>
    <x:col min="2" max="2" width="12.220000267028809" hidden="0" customWidth="1"/>
    <x:col min="3" max="3" width="12.220000267028809" hidden="0" customWidth="1"/>
    <x:col min="4" max="4" width="12.220000267028809" hidden="0" customWidth="1"/>
    <x:col min="5" max="5" width="16.670000076293945" hidden="0" customWidth="1"/>
    <x:col min="6" max="6" width="16.670000076293945" hidden="0" customWidth="1"/>
  </x:cols>
  <x:sheetData>
    <x:row r="1" ht="34.5" customHeight="1">
      <x:c r="A1" s="16" t="str">
        <x:v>TiffinStash Mobile · Content Control</x:v>
      </x:c>
      <x:c r="B1" s="16"/>
      <x:c r="C1" s="16"/>
      <x:c r="D1" s="16"/>
      <x:c r="E1" s="16"/>
      <x:c r="F1" s="16"/>
    </x:row>
    <x:row r="2" ht="30" customHeight="1">
      <x:c r="A2" s="18" t="str">
        <x:v>Edit rows → set status to LIVE → use TiffinStash App › Clear app content cache. Changes appear without a new app-store release.</x:v>
      </x:c>
      <x:c r="B2" s="18"/>
      <x:c r="C2" s="18"/>
      <x:c r="D2" s="18"/>
      <x:c r="E2" s="18"/>
      <x:c r="F2" s="18"/>
    </x:row>
    <x:row r="4">
      <x:c r="A4" s="23" t="str">
        <x:v>Overall status</x:v>
      </x:c>
      <x:c r="B4" s="23" t="str">
        <x:v>Live rows</x:v>
      </x:c>
      <x:c r="C4" s="23" t="str">
        <x:v>Draft rows</x:v>
      </x:c>
      <x:c r="D4" s="23" t="str">
        <x:v>Rows to fix</x:v>
      </x:c>
    </x:row>
    <x:row r="5">
      <x:c r="A5" s="24" t="str">
        <x:f>IF(D5=0,"READY","REVIEW")</x:f>
        <x:v>READY</x:v>
      </x:c>
      <x:c r="B5" s="21" t="n">
        <x:f>SUM(B8:B21)</x:f>
        <x:v>129</x:v>
      </x:c>
      <x:c r="C5" s="21" t="n">
        <x:f>SUM(C8:C21)</x:f>
        <x:v>0</x:v>
      </x:c>
      <x:c r="D5" s="21" t="n">
        <x:f>SUM(D8:D21)</x:f>
        <x:v>0</x:v>
      </x:c>
    </x:row>
    <x:row r="7">
      <x:c r="A7" s="23" t="str">
        <x:v>Tab</x:v>
      </x:c>
      <x:c r="B7" s="23" t="str">
        <x:v>Live rows</x:v>
      </x:c>
      <x:c r="C7" s="23" t="str">
        <x:v>Draft rows</x:v>
      </x:c>
      <x:c r="D7" s="23" t="str">
        <x:v>Rows to fix</x:v>
      </x:c>
    </x:row>
    <x:row r="8">
      <x:c r="A8" s="25" t="str">
        <x:v>Settings</x:v>
      </x:c>
      <x:c r="B8" s="25" t="n">
        <x:f>COUNTIF('Settings'!D2:D500,"LIVE")</x:f>
        <x:v>14</x:v>
      </x:c>
      <x:c r="C8" s="25" t="n">
        <x:f>COUNTIF('Settings'!D2:D500,"DRAFT")</x:f>
        <x:v>0</x:v>
      </x:c>
      <x:c r="D8" s="25" t="n">
        <x:f>COUNTIF('Settings'!F2:F500,"FIX")</x:f>
        <x:v>0</x:v>
      </x:c>
    </x:row>
    <x:row r="9">
      <x:c r="A9" s="25" t="str">
        <x:v>Assets</x:v>
      </x:c>
      <x:c r="B9" s="25" t="n">
        <x:f>COUNTIF('Assets'!E2:E500,"LIVE")</x:f>
        <x:v>16</x:v>
      </x:c>
      <x:c r="C9" s="25" t="n">
        <x:f>COUNTIF('Assets'!E2:E500,"DRAFT")</x:f>
        <x:v>0</x:v>
      </x:c>
      <x:c r="D9" s="25" t="n">
        <x:f>COUNTIF('Assets'!G2:G500,"FIX")</x:f>
        <x:v>0</x:v>
      </x:c>
    </x:row>
    <x:row r="10">
      <x:c r="A10" s="25" t="str">
        <x:v>Navigation</x:v>
      </x:c>
      <x:c r="B10" s="25" t="n">
        <x:f>COUNTIF('Navigation'!G2:G500,"LIVE")</x:f>
        <x:v>5</x:v>
      </x:c>
      <x:c r="C10" s="25" t="n">
        <x:f>COUNTIF('Navigation'!G2:G500,"DRAFT")</x:f>
        <x:v>0</x:v>
      </x:c>
      <x:c r="D10" s="25" t="n">
        <x:f>COUNTIF('Navigation'!I2:I500,"FIX")</x:f>
        <x:v>0</x:v>
      </x:c>
    </x:row>
    <x:row r="11">
      <x:c r="A11" s="25" t="str">
        <x:v>Banners</x:v>
      </x:c>
      <x:c r="B11" s="25" t="n">
        <x:f>COUNTIF('Banners'!L2:L500,"LIVE")</x:f>
        <x:v>3</x:v>
      </x:c>
      <x:c r="C11" s="25" t="n">
        <x:f>COUNTIF('Banners'!L2:L500,"DRAFT")</x:f>
        <x:v>0</x:v>
      </x:c>
      <x:c r="D11" s="25" t="n">
        <x:f>COUNTIF('Banners'!N2:N500,"FIX")</x:f>
        <x:v>0</x:v>
      </x:c>
    </x:row>
    <x:row r="12">
      <x:c r="A12" s="25" t="str">
        <x:v>Collections</x:v>
      </x:c>
      <x:c r="B12" s="25" t="n">
        <x:f>COUNTIF('Collections'!H2:H500,"LIVE")</x:f>
        <x:v>9</x:v>
      </x:c>
      <x:c r="C12" s="25" t="n">
        <x:f>COUNTIF('Collections'!H2:H500,"DRAFT")</x:f>
        <x:v>0</x:v>
      </x:c>
      <x:c r="D12" s="25" t="n">
        <x:f>COUNTIF('Collections'!J2:J500,"FIX")</x:f>
        <x:v>0</x:v>
      </x:c>
    </x:row>
    <x:row r="13">
      <x:c r="A13" s="25" t="str">
        <x:v>Product_Rails</x:v>
      </x:c>
      <x:c r="B13" s="25" t="n">
        <x:f>COUNTIF('Product_Rails'!F2:F500,"LIVE")</x:f>
        <x:v>2</x:v>
      </x:c>
      <x:c r="C13" s="25" t="n">
        <x:f>COUNTIF('Product_Rails'!F2:F500,"DRAFT")</x:f>
        <x:v>0</x:v>
      </x:c>
      <x:c r="D13" s="25" t="n">
        <x:f>COUNTIF('Product_Rails'!H2:H500,"FIX")</x:f>
        <x:v>0</x:v>
      </x:c>
    </x:row>
    <x:row r="14">
      <x:c r="A14" s="25" t="str">
        <x:v>Products</x:v>
      </x:c>
      <x:c r="B14" s="25" t="n">
        <x:f>COUNTIF('Products'!N2:N500,"LIVE")</x:f>
        <x:v>6</x:v>
      </x:c>
      <x:c r="C14" s="25" t="n">
        <x:f>COUNTIF('Products'!N2:N500,"DRAFT")</x:f>
        <x:v>0</x:v>
      </x:c>
      <x:c r="D14" s="25" t="n">
        <x:f>COUNTIF('Products'!P2:P500,"FIX")</x:f>
        <x:v>0</x:v>
      </x:c>
    </x:row>
    <x:row r="15">
      <x:c r="A15" s="25" t="str">
        <x:v>Quick_Links</x:v>
      </x:c>
      <x:c r="B15" s="25" t="n">
        <x:f>COUNTIF('Quick_Links'!G2:G500,"LIVE")</x:f>
        <x:v>4</x:v>
      </x:c>
      <x:c r="C15" s="25" t="n">
        <x:f>COUNTIF('Quick_Links'!G2:G500,"DRAFT")</x:f>
        <x:v>0</x:v>
      </x:c>
      <x:c r="D15" s="25" t="n">
        <x:f>COUNTIF('Quick_Links'!I2:I500,"FIX")</x:f>
        <x:v>0</x:v>
      </x:c>
    </x:row>
    <x:row r="16">
      <x:c r="A16" s="25" t="str">
        <x:v>Home_Sections</x:v>
      </x:c>
      <x:c r="B16" s="25" t="n">
        <x:f>COUNTIF('Home_Sections'!G2:G500,"LIVE")</x:f>
        <x:v>5</x:v>
      </x:c>
      <x:c r="C16" s="25" t="n">
        <x:f>COUNTIF('Home_Sections'!G2:G500,"DRAFT")</x:f>
        <x:v>0</x:v>
      </x:c>
      <x:c r="D16" s="25" t="n">
        <x:f>COUNTIF('Home_Sections'!I2:I500,"FIX")</x:f>
        <x:v>0</x:v>
      </x:c>
    </x:row>
    <x:row r="17">
      <x:c r="A17" s="25" t="str">
        <x:v>App_Copy</x:v>
      </x:c>
      <x:c r="B17" s="25" t="n">
        <x:f>COUNTIF('App_Copy'!C2:C500,"LIVE")</x:f>
        <x:v>31</x:v>
      </x:c>
      <x:c r="C17" s="25" t="n">
        <x:f>COUNTIF('App_Copy'!C2:C500,"DRAFT")</x:f>
        <x:v>0</x:v>
      </x:c>
      <x:c r="D17" s="25" t="n">
        <x:f>COUNTIF('App_Copy'!E2:E500,"FIX")</x:f>
        <x:v>0</x:v>
      </x:c>
    </x:row>
    <x:row r="18">
      <x:c r="A18" s="25" t="str">
        <x:v>Contact_Actions</x:v>
      </x:c>
      <x:c r="B18" s="25" t="n">
        <x:f>COUNTIF('Contact_Actions'!I2:I500,"LIVE")</x:f>
        <x:v>4</x:v>
      </x:c>
      <x:c r="C18" s="25" t="n">
        <x:f>COUNTIF('Contact_Actions'!I2:I500,"DRAFT")</x:f>
        <x:v>0</x:v>
      </x:c>
      <x:c r="D18" s="25" t="n">
        <x:f>COUNTIF('Contact_Actions'!K2:K500,"FIX")</x:f>
        <x:v>0</x:v>
      </x:c>
    </x:row>
    <x:row r="19">
      <x:c r="A19" s="25" t="str">
        <x:v>Feature_Flags</x:v>
      </x:c>
      <x:c r="B19" s="25" t="n">
        <x:f>COUNTIF('Feature_Flags'!C2:C500,"LIVE")</x:f>
        <x:v>6</x:v>
      </x:c>
      <x:c r="C19" s="25" t="n">
        <x:f>COUNTIF('Feature_Flags'!C2:C500,"DRAFT")</x:f>
        <x:v>0</x:v>
      </x:c>
      <x:c r="D19" s="25" t="n">
        <x:f>COUNTIF('Feature_Flags'!E2:E500,"FIX")</x:f>
        <x:v>0</x:v>
      </x:c>
    </x:row>
    <x:row r="20">
      <x:c r="A20" s="25" t="str">
        <x:v>Messages</x:v>
      </x:c>
      <x:c r="B20" s="25" t="n">
        <x:f>COUNTIF('Messages'!J2:J500,"LIVE")</x:f>
        <x:v>1</x:v>
      </x:c>
      <x:c r="C20" s="25" t="n">
        <x:f>COUNTIF('Messages'!J2:J500,"DRAFT")</x:f>
        <x:v>0</x:v>
      </x:c>
      <x:c r="D20" s="25" t="n">
        <x:f>COUNTIF('Messages'!L2:L500,"FIX")</x:f>
        <x:v>0</x:v>
      </x:c>
    </x:row>
    <x:row r="21">
      <x:c r="A21" s="25" t="str">
        <x:v>Cities</x:v>
      </x:c>
      <x:c r="B21" s="25" t="n">
        <x:f>COUNTIF('Cities'!C2:C500,"LIVE")</x:f>
        <x:v>23</x:v>
      </x:c>
      <x:c r="C21" s="25" t="n">
        <x:f>COUNTIF('Cities'!C2:C500,"DRAFT")</x:f>
        <x:v>0</x:v>
      </x:c>
      <x:c r="D21" s="25" t="n">
        <x:f>COUNTIF('Cities'!E2:E500,"FIX")</x:f>
        <x:v>0</x:v>
      </x:c>
    </x:row>
    <x:row r="24" ht="22.5" customHeight="1">
      <x:c r="A24" s="28" t="str">
        <x:v>Safety boundary</x:v>
      </x:c>
      <x:c r="B24" s="28"/>
      <x:c r="C24" s="28"/>
      <x:c r="D24" s="28"/>
      <x:c r="E24" s="28"/>
      <x:c r="F24" s="28"/>
    </x:row>
    <x:row r="25">
      <x:c r="A25" s="46" t="str">
        <x:v>This workbook controls public app content only. Never add customer data, passwords, access tokens, Shopify credentials, signing keys, private drafts, or order details. Checkout, login, subscription logic, delivery choices and paid add-ons remain on Shopify.</x:v>
      </x:c>
      <x:c r="B25" s="47"/>
      <x:c r="C25" s="47"/>
      <x:c r="D25" s="47"/>
      <x:c r="E25" s="47"/>
      <x:c r="F25" s="48"/>
    </x:row>
    <x:row r="26">
      <x:c r="A26" s="49"/>
      <x:c r="B26" s="50"/>
      <x:c r="C26" s="50"/>
      <x:c r="D26" s="50"/>
      <x:c r="E26" s="50"/>
      <x:c r="F26" s="51"/>
    </x:row>
    <x:row r="27">
      <x:c r="A27" s="52"/>
      <x:c r="B27" s="53"/>
      <x:c r="C27" s="53"/>
      <x:c r="D27" s="53"/>
      <x:c r="E27" s="53"/>
      <x:c r="F27" s="54"/>
    </x:row>
  </x:sheetData>
  <x:mergeCells>
    <x:mergeCell ref="A1:F1"/>
    <x:mergeCell ref="A2:F2"/>
    <x:mergeCell ref="A24:F24"/>
    <x:mergeCell ref="A25:F27"/>
  </x:mergeCells>
  <x:conditionalFormatting sqref="D8:D21">
    <x:cfRule type="cellIs" dxfId="56" priority="1" operator="greaterThan">
      <x:formula>0</x:formula>
    </x:cfRule>
  </x:conditionalFormatting>
  <x:pageMargins left="0.7" right="0.7" top="0.75" bottom="0.75" header="0.3" footer="0.3"/>
</x:worksheet>
</file>

<file path=xl/worksheets/sheet16.xml><?xml version="1.0" encoding="utf-8"?>
<x:worksheet xmlns:x="http://schemas.openxmlformats.org/spreadsheetml/2006/main">
  <x:sheetPr>
    <x:tabColor rgb="FFDE5200"/>
  </x:sheetPr>
  <x:sheetViews>
    <x:sheetView showGridLines="0" workbookViewId="0">
      <x:pane ySplit="3" topLeftCell="A4" activePane="bottomLeft" state="frozen"/>
    </x:sheetView>
  </x:sheetViews>
  <x:sheetFormatPr defaultRowHeight="15"/>
  <x:cols>
    <x:col min="1" max="1" width="7.110000133514404" hidden="0" customWidth="1"/>
    <x:col min="2" max="2" width="36.66999816894531" hidden="0" customWidth="1"/>
    <x:col min="3" max="3" width="34.439998626708984" hidden="0" customWidth="1"/>
    <x:col min="4" max="4" width="33.33000183105469" hidden="0" customWidth="1"/>
  </x:cols>
  <x:sheetData>
    <x:row r="1" ht="34.5" customHeight="1">
      <x:c r="A1" s="56" t="str">
        <x:v>How to run TiffinStash Mobile from this sheet</x:v>
      </x:c>
      <x:c r="B1" s="56"/>
      <x:c r="C1" s="56"/>
      <x:c r="D1" s="56"/>
    </x:row>
    <x:row r="3" ht="25.5" customHeight="1">
      <x:c r="A3" s="11" t="str">
        <x:v>Step</x:v>
      </x:c>
      <x:c r="B3" s="11" t="str">
        <x:v>Action</x:v>
      </x:c>
      <x:c r="C3" s="11" t="str">
        <x:v>What it controls</x:v>
      </x:c>
      <x:c r="D3" s="11" t="str">
        <x:v>Important</x:v>
      </x:c>
    </x:row>
    <x:row r="4" ht="51" customHeight="1">
      <x:c r="A4" s="8" t="n">
        <x:v>1</x:v>
      </x:c>
      <x:c r="B4" s="8" t="str">
        <x:v>Upload an image to Shopify Admin › Content › Files.</x:v>
      </x:c>
      <x:c r="C4" s="8" t="str">
        <x:v>Creates a reliable HTTPS CDN URL.</x:v>
      </x:c>
      <x:c r="D4" s="8" t="str">
        <x:v>Use owned, licensed images.</x:v>
      </x:c>
    </x:row>
    <x:row r="5" ht="51" customHeight="1">
      <x:c r="A5" s="8" t="n">
        <x:v>2</x:v>
      </x:c>
      <x:c r="B5" s="8" t="str">
        <x:v>Paste the URL in Assets, give it a unique asset_id, and set status to LIVE.</x:v>
      </x:c>
      <x:c r="C5" s="8" t="str">
        <x:v>Central image library for logos, banners, collections and cards.</x:v>
      </x:c>
      <x:c r="D5" s="8" t="str">
        <x:v>Changing one Assets URL updates every row that references that asset_id.</x:v>
      </x:c>
    </x:row>
    <x:row r="6" ht="51" customHeight="1">
      <x:c r="A6" s="8" t="n">
        <x:v>3</x:v>
      </x:c>
      <x:c r="B6" s="8" t="str">
        <x:v>Edit content rows and keep enabled TRUE.</x:v>
      </x:c>
      <x:c r="C6" s="8" t="str">
        <x:v>Text, links, cards, ordering and visibility.</x:v>
      </x:c>
      <x:c r="D6" s="8" t="str">
        <x:v>DRAFT rows never reach the app.</x:v>
      </x:c>
    </x:row>
    <x:row r="7" ht="51" customHeight="1">
      <x:c r="A7" s="8" t="n">
        <x:v>4</x:v>
      </x:c>
      <x:c r="B7" s="8" t="str">
        <x:v>Fix every red row_check cell.</x:v>
      </x:c>
      <x:c r="C7" s="8" t="str">
        <x:v>Prevents incomplete rows from publishing.</x:v>
      </x:c>
      <x:c r="D7" s="8" t="str">
        <x:v>READY means structurally complete; test the actual destination too.</x:v>
      </x:c>
    </x:row>
    <x:row r="8" ht="51" customHeight="1">
      <x:c r="A8" s="8" t="n">
        <x:v>5</x:v>
      </x:c>
      <x:c r="B8" s="8" t="str">
        <x:v>Increase Settings › content_version.</x:v>
      </x:c>
      <x:c r="C8" s="8" t="str">
        <x:v>Makes releases easy to identify in the Account screen.</x:v>
      </x:c>
      <x:c r="D8" s="8" t="str">
        <x:v>Use a simple date-based version such as 2026.09.12.2.</x:v>
      </x:c>
    </x:row>
    <x:row r="9" ht="51" customHeight="1">
      <x:c r="A9" s="8" t="n">
        <x:v>6</x:v>
      </x:c>
      <x:c r="B9" s="8" t="str">
        <x:v>In Google Sheets, choose TiffinStash App › Clear app content cache.</x:v>
      </x:c>
      <x:c r="C9" s="8" t="str">
        <x:v>Makes the API rebuild on the next app request.</x:v>
      </x:c>
      <x:c r="D9" s="8" t="str">
        <x:v>The simple onEdit trigger also clears cache automatically.</x:v>
      </x:c>
    </x:row>
    <x:row r="10" ht="51" customHeight="1">
      <x:c r="A10" s="8" t="n">
        <x:v>7</x:v>
      </x:c>
      <x:c r="B10" s="8" t="str">
        <x:v>Pull to refresh in a preview build and test every changed card.</x:v>
      </x:c>
      <x:c r="C10" s="8" t="str">
        <x:v>Verifies copy, images, links and Shopify handoff.</x:v>
      </x:c>
      <x:c r="D10" s="8" t="str">
        <x:v>Test cart, login, Globo options, Recurpay and checkout before store submission.</x:v>
      </x:c>
    </x:row>
    <x:row r="11" ht="51" customHeight="1">
      <x:c r="A11" s="8" t="n">
        <x:v>8</x:v>
      </x:c>
      <x:c r="B11" s="8" t="str">
        <x:v>Publish the mobile build only after the release checklist passes.</x:v>
      </x:c>
      <x:c r="C11" s="8" t="str">
        <x:v>App Store / Play Store update.</x:v>
      </x:c>
      <x:c r="D11" s="8" t="str">
        <x:v>This must update existing listings, never create duplicate apps.</x:v>
      </x:c>
    </x:row>
  </x:sheetData>
  <x:mergeCells>
    <x:mergeCell ref="A1:D1"/>
  </x:mergeCells>
  <x:pageMargins left="0.7" right="0.7" top="0.75" bottom="0.75" header="0.3" footer="0.3"/>
</x:worksheet>
</file>